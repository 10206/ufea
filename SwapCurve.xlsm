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minimanimu/Desktop/금융공학/UFEA/36기/과제/"/>
    </mc:Choice>
  </mc:AlternateContent>
  <xr:revisionPtr revIDLastSave="0" documentId="13_ncr:1_{79CB834C-6F3C-E14B-AB76-5954B973FB39}" xr6:coauthVersionLast="47" xr6:coauthVersionMax="47" xr10:uidLastSave="{00000000-0000-0000-0000-000000000000}"/>
  <bookViews>
    <workbookView xWindow="36000" yWindow="0" windowWidth="38400" windowHeight="21600" xr2:uid="{6E5CE17F-D391-BC44-8CD0-A72870BAE1E6}"/>
  </bookViews>
  <sheets>
    <sheet name="Swap Curve" sheetId="2" r:id="rId1"/>
  </sheets>
  <functionGroups builtInGroupCount="19"/>
  <definedNames>
    <definedName name="_xlchart.v1.0" hidden="1">'Swap Curve'!$B$2</definedName>
    <definedName name="_xlchart.v1.1" hidden="1">'Swap Curve'!$B$3:$B$62</definedName>
    <definedName name="_xlchart.v1.2" hidden="1">'Swap Curve'!$B$2</definedName>
    <definedName name="_xlchart.v1.3" hidden="1">'Swap Curve'!$B$3:$B$62</definedName>
    <definedName name="solver_adj" localSheetId="0" hidden="1">'Swap Curve'!$C$5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'Swap Curve'!$E$5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12" i="2"/>
  <c r="D6" i="2" l="1"/>
  <c r="D8" i="2"/>
  <c r="D10" i="2"/>
  <c r="D14" i="2"/>
  <c r="D16" i="2"/>
  <c r="D18" i="2"/>
  <c r="D20" i="2"/>
  <c r="D22" i="2"/>
  <c r="D24" i="2"/>
  <c r="D26" i="2"/>
  <c r="D32" i="2"/>
  <c r="D42" i="2"/>
  <c r="D52" i="2"/>
  <c r="D62" i="2"/>
  <c r="D4" i="2"/>
  <c r="D5" i="2"/>
  <c r="C47" i="2" a="1"/>
  <c r="C9" i="2" a="1"/>
  <c r="E3" i="2" a="1"/>
  <c r="E6" i="2" a="1"/>
  <c r="C57" i="2" a="1"/>
  <c r="E4" i="2" a="1"/>
  <c r="C23" i="2" a="1"/>
  <c r="C19" i="2" a="1"/>
  <c r="C21" i="2" a="1"/>
  <c r="C37" i="2" a="1"/>
  <c r="C17" i="2" a="1"/>
  <c r="C7" i="2" a="1"/>
  <c r="C29" i="2" a="1"/>
  <c r="C25" i="2" a="1"/>
  <c r="C15" i="2" a="1"/>
  <c r="E5" i="2" a="1"/>
  <c r="C11" i="2" a="1"/>
  <c r="C13" i="2" a="1"/>
  <c r="C11" i="2" l="1"/>
  <c r="C57" i="2"/>
  <c r="C47" i="2"/>
  <c r="C37" i="2"/>
  <c r="C29" i="2"/>
  <c r="C25" i="2"/>
  <c r="D25" i="2" s="1"/>
  <c r="C23" i="2"/>
  <c r="D23" i="2" s="1"/>
  <c r="C21" i="2"/>
  <c r="D21" i="2" s="1"/>
  <c r="C19" i="2"/>
  <c r="D19" i="2" s="1"/>
  <c r="C17" i="2"/>
  <c r="D17" i="2" s="1"/>
  <c r="C15" i="2"/>
  <c r="D15" i="2" s="1"/>
  <c r="C13" i="2"/>
  <c r="D13" i="2" s="1"/>
  <c r="C7" i="2"/>
  <c r="E6" i="2"/>
  <c r="E5" i="2"/>
  <c r="E4" i="2"/>
  <c r="E3" i="2"/>
  <c r="C9" i="2"/>
  <c r="D9" i="2" s="1"/>
  <c r="C59" i="2" a="1"/>
  <c r="C55" i="2" a="1"/>
  <c r="C49" i="2" a="1"/>
  <c r="C39" i="2" a="1"/>
  <c r="C35" i="2" a="1"/>
  <c r="C31" i="2" a="1"/>
  <c r="C45" i="2" a="1"/>
  <c r="C27" i="2" a="1"/>
  <c r="E20" i="2" a="1"/>
  <c r="E26" i="2" a="1"/>
  <c r="E16" i="2" a="1"/>
  <c r="E22" i="2" a="1"/>
  <c r="E24" i="2" a="1"/>
  <c r="E18" i="2" a="1"/>
  <c r="C27" i="2" l="1"/>
  <c r="C31" i="2"/>
  <c r="C39" i="2"/>
  <c r="C35" i="2"/>
  <c r="D37" i="2"/>
  <c r="C59" i="2"/>
  <c r="C55" i="2"/>
  <c r="D57" i="2"/>
  <c r="C49" i="2"/>
  <c r="C45" i="2"/>
  <c r="D47" i="2"/>
  <c r="E26" i="2"/>
  <c r="E24" i="2"/>
  <c r="E22" i="2"/>
  <c r="E20" i="2"/>
  <c r="E18" i="2"/>
  <c r="E16" i="2"/>
  <c r="D11" i="2"/>
  <c r="C34" i="2" a="1"/>
  <c r="C56" i="2" a="1"/>
  <c r="C36" i="2" a="1"/>
  <c r="C28" i="2" a="1"/>
  <c r="C50" i="2" a="1"/>
  <c r="C30" i="2" a="1"/>
  <c r="C46" i="2" a="1"/>
  <c r="C60" i="2" a="1"/>
  <c r="C44" i="2" a="1"/>
  <c r="C38" i="2" a="1"/>
  <c r="C54" i="2" a="1"/>
  <c r="C58" i="2" a="1"/>
  <c r="C48" i="2" a="1"/>
  <c r="C40" i="2" a="1"/>
  <c r="C36" i="2" l="1"/>
  <c r="D36" i="2" s="1"/>
  <c r="C34" i="2"/>
  <c r="C40" i="2"/>
  <c r="C38" i="2"/>
  <c r="D38" i="2" s="1"/>
  <c r="C30" i="2"/>
  <c r="C28" i="2"/>
  <c r="D35" i="2"/>
  <c r="D39" i="2"/>
  <c r="C60" i="2"/>
  <c r="C58" i="2"/>
  <c r="D58" i="2" s="1"/>
  <c r="C54" i="2"/>
  <c r="C56" i="2"/>
  <c r="D56" i="2" s="1"/>
  <c r="D59" i="2"/>
  <c r="D55" i="2"/>
  <c r="C46" i="2"/>
  <c r="D46" i="2" s="1"/>
  <c r="C44" i="2"/>
  <c r="C50" i="2"/>
  <c r="C48" i="2"/>
  <c r="D48" i="2" s="1"/>
  <c r="D45" i="2"/>
  <c r="D49" i="2"/>
  <c r="D7" i="2"/>
  <c r="B11" i="2" s="1"/>
  <c r="C41" i="2" a="1"/>
  <c r="C51" i="2" a="1"/>
  <c r="C53" i="2" a="1"/>
  <c r="C33" i="2" a="1"/>
  <c r="C61" i="2" a="1"/>
  <c r="C43" i="2" a="1"/>
  <c r="E10" i="2" a="1"/>
  <c r="E14" i="2" a="1"/>
  <c r="E12" i="2" a="1"/>
  <c r="C41" i="2" l="1"/>
  <c r="D41" i="2" s="1"/>
  <c r="C33" i="2"/>
  <c r="D33" i="2" s="1"/>
  <c r="D40" i="2"/>
  <c r="D34" i="2"/>
  <c r="B7" i="2"/>
  <c r="B19" i="2"/>
  <c r="B21" i="2"/>
  <c r="B15" i="2"/>
  <c r="B23" i="2"/>
  <c r="B13" i="2"/>
  <c r="B25" i="2"/>
  <c r="B9" i="2"/>
  <c r="B17" i="2"/>
  <c r="C53" i="2"/>
  <c r="D53" i="2" s="1"/>
  <c r="C61" i="2"/>
  <c r="D61" i="2" s="1"/>
  <c r="D54" i="2"/>
  <c r="D60" i="2"/>
  <c r="C51" i="2"/>
  <c r="D51" i="2" s="1"/>
  <c r="C43" i="2"/>
  <c r="D43" i="2" s="1"/>
  <c r="D50" i="2"/>
  <c r="D44" i="2"/>
  <c r="E14" i="2"/>
  <c r="E12" i="2"/>
  <c r="E10" i="2"/>
  <c r="E8" i="2"/>
  <c r="D31" i="2"/>
  <c r="D29" i="2" l="1"/>
  <c r="D30" i="2"/>
  <c r="D27" i="2"/>
  <c r="D28" i="2"/>
  <c r="E62" i="2" a="1"/>
  <c r="B61" i="2" l="1"/>
  <c r="B30" i="2"/>
  <c r="B27" i="2"/>
  <c r="B57" i="2"/>
  <c r="B47" i="2"/>
  <c r="B38" i="2"/>
  <c r="B37" i="2"/>
  <c r="B46" i="2"/>
  <c r="B36" i="2"/>
  <c r="B58" i="2"/>
  <c r="B49" i="2"/>
  <c r="B56" i="2"/>
  <c r="B55" i="2"/>
  <c r="B45" i="2"/>
  <c r="B39" i="2"/>
  <c r="B35" i="2"/>
  <c r="B48" i="2"/>
  <c r="B59" i="2"/>
  <c r="B43" i="2"/>
  <c r="B40" i="2"/>
  <c r="B29" i="2"/>
  <c r="B53" i="2"/>
  <c r="B41" i="2"/>
  <c r="B50" i="2"/>
  <c r="B54" i="2"/>
  <c r="B33" i="2"/>
  <c r="B60" i="2"/>
  <c r="B44" i="2"/>
  <c r="B51" i="2"/>
  <c r="B28" i="2"/>
  <c r="B34" i="2"/>
  <c r="B31" i="2"/>
  <c r="E62" i="2"/>
  <c r="E52" i="2" a="1"/>
  <c r="E52" i="2" l="1"/>
  <c r="E42" i="2" a="1"/>
  <c r="E42" i="2" l="1"/>
  <c r="E32" i="2" a="1"/>
  <c r="E3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<sst xmlns="http://schemas.openxmlformats.org/spreadsheetml/2006/main" count="9" uniqueCount="9">
  <si>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Maturity</t>
    <phoneticPr fontId="2" type="noConversion"/>
  </si>
  <si>
    <t>Swap Rate</t>
    <phoneticPr fontId="2" type="noConversion"/>
  </si>
  <si>
    <t>CashFlow</t>
    <phoneticPr fontId="2" type="noConversion"/>
  </si>
  <si>
    <t>DF</t>
    <phoneticPr fontId="2" type="noConversion"/>
  </si>
  <si>
    <t>Spot Rate</t>
    <phoneticPr fontId="2" type="noConversion"/>
  </si>
  <si>
    <t>difference</t>
    <phoneticPr fontId="2" type="noConversion"/>
  </si>
  <si>
    <t>Semi</t>
    <phoneticPr fontId="2" type="noConversion"/>
  </si>
  <si>
    <t>semi</t>
    <phoneticPr fontId="2" type="noConversion"/>
  </si>
  <si>
    <t>par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</si>
</sst>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%"/>
  </numFmts>
  <fonts count="5"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333333"/>
      <name val="Arial"/>
      <family val="2"/>
    </font>
    <font>
      <sz val="12"/>
      <color rgb="FF00000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176" fontId="0" fillId="0" borderId="0" xfId="1" applyNumberFormat="1" applyFont="1" applyAlignment="1">
      <alignment horizontal="center" vertical="center"/>
    </xf>
    <xf numFmtId="176" fontId="0" fillId="0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1" applyNumberFormat="1" applyFont="1">
      <alignment vertical="center"/>
    </xf>
    <xf numFmtId="10" fontId="4" fillId="0" borderId="0" xfId="0" applyNumberFormat="1" applyFont="1">
      <alignment vertical="center"/>
    </xf>
    <xf numFmtId="176" fontId="0" fillId="2" borderId="0" xfId="1" applyNumberFormat="1" applyFont="1" applyFill="1" applyAlignment="1">
      <alignment horizontal="center" vertical="center"/>
    </xf>
    <xf numFmtId="176" fontId="3" fillId="2" borderId="0" xfId="1" applyNumberFormat="1" applyFont="1" applyFill="1" applyAlignment="1">
      <alignment horizontal="center" vertical="center"/>
    </xf>
    <xf numFmtId="176" fontId="0" fillId="0" borderId="0" xfId="1" applyNumberFormat="1" applyFont="1" applyBorder="1" applyAlignment="1">
      <alignment horizontal="center" vertical="center"/>
    </xf>
    <xf numFmtId="10" fontId="0" fillId="0" borderId="0" xfId="1" applyNumberFormat="1" applyFont="1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'Swap Curve'!$B$2</c:f>
              <c:strCache>
                <c:ptCount val="1"/>
                <c:pt idx="0">
                  <c:v>Swap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'Swap Curve'!$A$2:$A$62</c:f>
              <c:strCache>
                <c:ptCount val="61"/>
                <c:pt idx="0">
                  <c:v>Maturity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strCache>
            </c:strRef>
          </c:cat>
          <c:val>
            <c:numRef>
              <c:f>'Swap Curve'!$B$3:$B$62</c:f>
              <c:numCache>
                <c:formatCode>0.0000%</c:formatCode>
                <c:ptCount val="60"/>
                <c:pt idx="0">
                  <c:v>3.7975000000000002E-2</c:v>
                </c:pt>
                <c:pt idx="1">
                  <c:v>3.8524999999999997E-2</c:v>
                </c:pt>
                <c:pt idx="2">
                  <c:v>3.8225000000000002E-2</c:v>
                </c:pt>
                <c:pt idx="3">
                  <c:v>3.7949999999999998E-2</c:v>
                </c:pt>
                <c:pt idx="4">
                  <c:v>3.7506997317782301E-2</c:v>
                </c:pt>
                <c:pt idx="5">
                  <c:v>3.7400000000000003E-2</c:v>
                </c:pt>
                <c:pt idx="6">
                  <c:v>3.7040784469009852E-2</c:v>
                </c:pt>
                <c:pt idx="7">
                  <c:v>3.7199999999999997E-2</c:v>
                </c:pt>
                <c:pt idx="8">
                  <c:v>3.7082784061247799E-2</c:v>
                </c:pt>
                <c:pt idx="9">
                  <c:v>3.7150000000000002E-2</c:v>
                </c:pt>
                <c:pt idx="10">
                  <c:v>3.7036017835645432E-2</c:v>
                </c:pt>
                <c:pt idx="11">
                  <c:v>3.7150000000000002E-2</c:v>
                </c:pt>
                <c:pt idx="12">
                  <c:v>3.7039068587794516E-2</c:v>
                </c:pt>
                <c:pt idx="13">
                  <c:v>3.7150000000000002E-2</c:v>
                </c:pt>
                <c:pt idx="14">
                  <c:v>3.718067241443293E-2</c:v>
                </c:pt>
                <c:pt idx="15">
                  <c:v>3.7199999999999997E-2</c:v>
                </c:pt>
                <c:pt idx="16">
                  <c:v>3.723330909614081E-2</c:v>
                </c:pt>
                <c:pt idx="17">
                  <c:v>3.7249999999999998E-2</c:v>
                </c:pt>
                <c:pt idx="18">
                  <c:v>3.7286644928160348E-2</c:v>
                </c:pt>
                <c:pt idx="19">
                  <c:v>3.73E-2</c:v>
                </c:pt>
                <c:pt idx="20">
                  <c:v>3.7328021575875246E-2</c:v>
                </c:pt>
                <c:pt idx="21">
                  <c:v>3.7324999999999997E-2</c:v>
                </c:pt>
                <c:pt idx="22">
                  <c:v>3.7369860562929715E-2</c:v>
                </c:pt>
                <c:pt idx="23">
                  <c:v>3.7374999999999999E-2</c:v>
                </c:pt>
                <c:pt idx="24">
                  <c:v>3.7405936304636081E-2</c:v>
                </c:pt>
                <c:pt idx="25">
                  <c:v>3.7414699124479499E-2</c:v>
                </c:pt>
                <c:pt idx="26">
                  <c:v>3.7423359723389608E-2</c:v>
                </c:pt>
                <c:pt idx="27">
                  <c:v>3.7431922750655384E-2</c:v>
                </c:pt>
                <c:pt idx="28">
                  <c:v>3.744039222842907E-2</c:v>
                </c:pt>
                <c:pt idx="29">
                  <c:v>3.7400000000000003E-2</c:v>
                </c:pt>
                <c:pt idx="30">
                  <c:v>3.7404580724858125E-2</c:v>
                </c:pt>
                <c:pt idx="31">
                  <c:v>3.7360383778184861E-2</c:v>
                </c:pt>
                <c:pt idx="32">
                  <c:v>3.7316209135235E-2</c:v>
                </c:pt>
                <c:pt idx="33">
                  <c:v>3.7272081537067771E-2</c:v>
                </c:pt>
                <c:pt idx="34">
                  <c:v>3.7228022656561881E-2</c:v>
                </c:pt>
                <c:pt idx="35">
                  <c:v>3.7184051523028588E-2</c:v>
                </c:pt>
                <c:pt idx="36">
                  <c:v>3.7140184878270609E-2</c:v>
                </c:pt>
                <c:pt idx="37">
                  <c:v>3.7096437476666147E-2</c:v>
                </c:pt>
                <c:pt idx="38">
                  <c:v>3.7052822339294293E-2</c:v>
                </c:pt>
                <c:pt idx="39">
                  <c:v>3.6949999999999997E-2</c:v>
                </c:pt>
                <c:pt idx="40">
                  <c:v>3.6877842343444919E-2</c:v>
                </c:pt>
                <c:pt idx="41">
                  <c:v>3.6746289475604023E-2</c:v>
                </c:pt>
                <c:pt idx="42">
                  <c:v>3.6614726906530476E-2</c:v>
                </c:pt>
                <c:pt idx="43">
                  <c:v>3.6483184702379191E-2</c:v>
                </c:pt>
                <c:pt idx="44">
                  <c:v>3.6351688952252617E-2</c:v>
                </c:pt>
                <c:pt idx="45">
                  <c:v>3.6220262200757351E-2</c:v>
                </c:pt>
                <c:pt idx="46">
                  <c:v>3.6088923825815467E-2</c:v>
                </c:pt>
                <c:pt idx="47">
                  <c:v>3.595769036960373E-2</c:v>
                </c:pt>
                <c:pt idx="48">
                  <c:v>3.5826575829225264E-2</c:v>
                </c:pt>
                <c:pt idx="49">
                  <c:v>3.5749999999999997E-2</c:v>
                </c:pt>
                <c:pt idx="50">
                  <c:v>3.5569677125113872E-2</c:v>
                </c:pt>
                <c:pt idx="51">
                  <c:v>3.5443941833353865E-2</c:v>
                </c:pt>
                <c:pt idx="52">
                  <c:v>3.5318391442065195E-2</c:v>
                </c:pt>
                <c:pt idx="53">
                  <c:v>3.519302996249505E-2</c:v>
                </c:pt>
                <c:pt idx="54">
                  <c:v>3.5067860141010487E-2</c:v>
                </c:pt>
                <c:pt idx="55">
                  <c:v>3.4942883573784549E-2</c:v>
                </c:pt>
                <c:pt idx="56">
                  <c:v>3.4818100809299944E-2</c:v>
                </c:pt>
                <c:pt idx="57">
                  <c:v>3.4693511440129644E-2</c:v>
                </c:pt>
                <c:pt idx="58">
                  <c:v>3.4569114185240328E-2</c:v>
                </c:pt>
                <c:pt idx="59">
                  <c:v>3.4750000000000003E-2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70-D04C-A617-B7FFF38F7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039167"/>
        <c:axId val="328041167"/>
      </c:lineChart>
      <c:catAx>
        <c:axId val="32803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328041167"/>
        <c:crosses val="autoZero"/>
        <c:auto val="1"/>
        <c:lblAlgn val="ctr"/>
        <c:lblOffset val="100"/>
        <c:noMultiLvlLbl val="0"/>
      </c:catAx>
      <c:valAx>
        <c:axId val="32804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328039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546100</xdr:colOff>
      <xdr:row>10</xdr:row>
      <xdr:rowOff>114300</xdr:rowOff>
    </xdr:from>
    <xdr:to>
      <xdr:col>73</xdr:col>
      <xdr:colOff>876300</xdr:colOff>
      <xdr:row>29</xdr:row>
      <xdr:rowOff>19050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5096A08-3829-AAF0-D0D8-94D140E3B8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A5E9-F0D2-9540-A1F3-399AB36D19ED}">
  <sheetPr codeName="Sheet2"/>
  <dimension ref="A1:BN62"/>
  <sheetViews>
    <sheetView tabSelected="1" workbookViewId="0">
      <selection activeCell="BR7" sqref="BR7"/>
    </sheetView>
  </sheetViews>
  <sheetFormatPr baseColWidth="10" defaultRowHeight="18"/>
  <cols>
    <col min="4" max="4" width="27.5703125" bestFit="1" customWidth="1"/>
    <col min="5" max="5" width="24.42578125" bestFit="1" customWidth="1"/>
    <col min="6" max="6" width="12.7109375" hidden="1" customWidth="1"/>
    <col min="7" max="66" width="0" hidden="1" customWidth="1"/>
  </cols>
  <sheetData>
    <row r="1" spans="1:66">
      <c r="A1" t="s">
        <v>8</v>
      </c>
      <c r="B1" t="s">
        <v>6</v>
      </c>
      <c r="C1" t="s">
        <v>7</v>
      </c>
    </row>
    <row r="2" spans="1:66">
      <c r="A2" s="3" t="s">
        <v>0</v>
      </c>
      <c r="B2" s="3" t="s">
        <v>1</v>
      </c>
      <c r="C2" s="3" t="s">
        <v>4</v>
      </c>
      <c r="D2" s="3" t="s">
        <v>3</v>
      </c>
      <c r="E2" s="3" t="s">
        <v>5</v>
      </c>
      <c r="F2" s="3" t="s">
        <v>2</v>
      </c>
      <c r="G2">
        <v>0.5</v>
      </c>
      <c r="H2">
        <v>1</v>
      </c>
      <c r="I2">
        <v>1.5</v>
      </c>
      <c r="J2">
        <v>2</v>
      </c>
      <c r="K2">
        <v>2.5</v>
      </c>
      <c r="L2">
        <v>3</v>
      </c>
      <c r="M2">
        <v>3.5</v>
      </c>
      <c r="N2">
        <v>4</v>
      </c>
      <c r="O2">
        <v>4.5</v>
      </c>
      <c r="P2">
        <v>5</v>
      </c>
      <c r="Q2">
        <v>5.5</v>
      </c>
      <c r="R2">
        <v>6</v>
      </c>
      <c r="S2">
        <v>6.5</v>
      </c>
      <c r="T2">
        <v>7</v>
      </c>
      <c r="U2">
        <v>7.5</v>
      </c>
      <c r="V2">
        <v>8</v>
      </c>
      <c r="W2">
        <v>8.5</v>
      </c>
      <c r="X2">
        <v>9</v>
      </c>
      <c r="Y2">
        <v>9.5</v>
      </c>
      <c r="Z2">
        <v>10</v>
      </c>
      <c r="AA2">
        <v>10.5</v>
      </c>
      <c r="AB2">
        <v>11</v>
      </c>
      <c r="AC2">
        <v>11.5</v>
      </c>
      <c r="AD2">
        <v>12</v>
      </c>
      <c r="AE2">
        <v>12.5</v>
      </c>
      <c r="AF2">
        <v>13</v>
      </c>
      <c r="AG2">
        <v>13.5</v>
      </c>
      <c r="AH2">
        <v>14</v>
      </c>
      <c r="AI2">
        <v>14.5</v>
      </c>
      <c r="AJ2">
        <v>15</v>
      </c>
      <c r="AK2">
        <v>15.5</v>
      </c>
      <c r="AL2">
        <v>16</v>
      </c>
      <c r="AM2">
        <v>16.5</v>
      </c>
      <c r="AN2">
        <v>17</v>
      </c>
      <c r="AO2">
        <v>17.5</v>
      </c>
      <c r="AP2">
        <v>18</v>
      </c>
      <c r="AQ2">
        <v>18.5</v>
      </c>
      <c r="AR2">
        <v>19</v>
      </c>
      <c r="AS2">
        <v>19.5</v>
      </c>
      <c r="AT2">
        <v>20</v>
      </c>
      <c r="AU2">
        <v>20.5</v>
      </c>
      <c r="AV2">
        <v>21</v>
      </c>
      <c r="AW2">
        <v>21.5</v>
      </c>
      <c r="AX2">
        <v>22</v>
      </c>
      <c r="AY2">
        <v>22.5</v>
      </c>
      <c r="AZ2">
        <v>23</v>
      </c>
      <c r="BA2">
        <v>23.5</v>
      </c>
      <c r="BB2">
        <v>24</v>
      </c>
      <c r="BC2">
        <v>24.5</v>
      </c>
      <c r="BD2">
        <v>25</v>
      </c>
      <c r="BE2">
        <v>25.5</v>
      </c>
      <c r="BF2">
        <v>26</v>
      </c>
      <c r="BG2">
        <v>26.5</v>
      </c>
      <c r="BH2">
        <v>27</v>
      </c>
      <c r="BI2">
        <v>27.5</v>
      </c>
      <c r="BJ2">
        <v>28</v>
      </c>
      <c r="BK2">
        <v>28.5</v>
      </c>
      <c r="BL2">
        <v>29</v>
      </c>
      <c r="BM2">
        <v>29.5</v>
      </c>
      <c r="BN2">
        <v>30</v>
      </c>
    </row>
    <row r="3" spans="1:66">
      <c r="A3">
        <v>0.5</v>
      </c>
      <c r="B3" s="6">
        <v>3.7975000000000002E-2</v>
      </c>
      <c r="C3" s="9">
        <v>3.7975011311621974E-2</v>
      </c>
      <c r="D3">
        <f>1/(1+C3/2)^(2*A3)</f>
        <v>0.9813663017942591</v>
      </c>
      <c r="E3" cm="1">
        <f t="array" ref="E3">pdiff(B3,A3,C3)</f>
        <v>5.5504223439584166E-7</v>
      </c>
      <c r="G3">
        <v>101.89875000000001</v>
      </c>
    </row>
    <row r="4" spans="1:66">
      <c r="A4">
        <v>1</v>
      </c>
      <c r="B4" s="7">
        <v>3.8524999999999997E-2</v>
      </c>
      <c r="C4" s="9">
        <v>3.8530301651387731E-2</v>
      </c>
      <c r="D4">
        <f t="shared" ref="D4:D62" si="0">1/(1+C4/2)^(2*A4)</f>
        <v>0.96255520889463864</v>
      </c>
      <c r="E4" cm="1">
        <f t="array" ref="E4">pdiff(B4,A3:A4,C3:C4)</f>
        <v>3.0057164224217559E-7</v>
      </c>
      <c r="G4">
        <v>1.9262499999999998</v>
      </c>
      <c r="H4">
        <v>101.92625</v>
      </c>
    </row>
    <row r="5" spans="1:66">
      <c r="A5">
        <v>1.5</v>
      </c>
      <c r="B5" s="6">
        <v>3.8225000000000002E-2</v>
      </c>
      <c r="C5" s="9">
        <v>3.8222746614894991E-2</v>
      </c>
      <c r="D5">
        <f t="shared" si="0"/>
        <v>0.94478949320447725</v>
      </c>
      <c r="E5" cm="1">
        <f t="array" ref="E5">pdiff(B5,A3:A5,C3:C5)</f>
        <v>1.7733610633285934E-6</v>
      </c>
      <c r="G5">
        <v>1.9112500000000001</v>
      </c>
      <c r="H5">
        <v>1.9112500000000001</v>
      </c>
      <c r="I5">
        <v>101.91125</v>
      </c>
    </row>
    <row r="6" spans="1:66">
      <c r="A6">
        <v>2</v>
      </c>
      <c r="B6" s="7">
        <v>3.7949999999999998E-2</v>
      </c>
      <c r="C6" s="9">
        <v>3.7940320427141377E-2</v>
      </c>
      <c r="D6">
        <f t="shared" si="0"/>
        <v>0.92758589312997608</v>
      </c>
      <c r="E6" cm="1">
        <f t="array" ref="E6">pdiff(B6,A3:A6,C3:C6)</f>
        <v>-1.2675099412717827E-5</v>
      </c>
      <c r="G6">
        <v>1.8975</v>
      </c>
      <c r="H6">
        <v>1.8975</v>
      </c>
      <c r="I6">
        <v>1.8975</v>
      </c>
      <c r="J6">
        <v>101.89749999999999</v>
      </c>
    </row>
    <row r="7" spans="1:66">
      <c r="A7">
        <v>2.5</v>
      </c>
      <c r="B7" s="2">
        <f>2*(1-D7)/SUM(D3:D7)</f>
        <v>3.7506997317782301E-2</v>
      </c>
      <c r="C7" s="9" cm="1">
        <f t="array" ref="C7">linear(A6,A8,C6,C8,A7)</f>
        <v>3.748248523811909E-2</v>
      </c>
      <c r="D7">
        <f t="shared" si="0"/>
        <v>0.91134026286235936</v>
      </c>
      <c r="G7">
        <v>1.875349865889115</v>
      </c>
      <c r="H7">
        <v>1.875349865889115</v>
      </c>
      <c r="I7">
        <v>1.875349865889115</v>
      </c>
      <c r="J7">
        <v>1.875349865889115</v>
      </c>
      <c r="K7">
        <v>101.87534986588912</v>
      </c>
    </row>
    <row r="8" spans="1:66">
      <c r="A8">
        <v>3</v>
      </c>
      <c r="B8" s="6">
        <v>3.7400000000000003E-2</v>
      </c>
      <c r="C8" s="4">
        <v>3.7024650049096795E-2</v>
      </c>
      <c r="D8">
        <f t="shared" si="0"/>
        <v>0.89578186795586334</v>
      </c>
      <c r="E8">
        <f>100-(B8/2*100*EXP(-1*C3*A3)+B8/2*100*EXP(-1*C4*A4)+B8/2*100*EXP(-1*C5*A5)+B8/2*100*EXP(-1*C6*A6)+B8/2*100*EXP(-1*C7*A7)+(B8/2*100+100)*EXP(-1*C8*A8))</f>
        <v>3.3012050543703708E-3</v>
      </c>
      <c r="G8">
        <v>1.87</v>
      </c>
      <c r="H8">
        <v>1.87</v>
      </c>
      <c r="I8">
        <v>1.87</v>
      </c>
      <c r="J8">
        <v>1.87</v>
      </c>
      <c r="K8">
        <v>1.87</v>
      </c>
      <c r="L8">
        <v>101.87</v>
      </c>
    </row>
    <row r="9" spans="1:66">
      <c r="A9">
        <v>3.5</v>
      </c>
      <c r="B9" s="1">
        <f>2*(1-D9)/SUM(D3:D9)</f>
        <v>3.7040784469009852E-2</v>
      </c>
      <c r="C9" s="4" cm="1">
        <f t="array" ref="C9">linear(A8,A10,C8,C10,A9)</f>
        <v>3.700414886300251E-2</v>
      </c>
      <c r="D9">
        <f t="shared" si="0"/>
        <v>0.87956223629456209</v>
      </c>
      <c r="G9">
        <v>1.8520392234504925</v>
      </c>
      <c r="H9">
        <v>1.8520392234504925</v>
      </c>
      <c r="I9">
        <v>1.8520392234504925</v>
      </c>
      <c r="J9">
        <v>1.8520392234504925</v>
      </c>
      <c r="K9">
        <v>1.8520392234504925</v>
      </c>
      <c r="L9">
        <v>1.8520392234504925</v>
      </c>
      <c r="M9">
        <v>101.85203922345049</v>
      </c>
    </row>
    <row r="10" spans="1:66">
      <c r="A10">
        <v>4</v>
      </c>
      <c r="B10" s="6">
        <v>3.7199999999999997E-2</v>
      </c>
      <c r="C10" s="4">
        <v>3.6983647676908225E-2</v>
      </c>
      <c r="D10">
        <f t="shared" si="0"/>
        <v>0.86365367295838857</v>
      </c>
      <c r="E10" cm="1">
        <f t="array" ref="E10">pdiff(B10,A3:A10,C3:C10)</f>
        <v>-6.7308278834687485E-2</v>
      </c>
      <c r="G10">
        <v>1.8599999999999999</v>
      </c>
      <c r="H10">
        <v>1.8599999999999999</v>
      </c>
      <c r="I10">
        <v>1.8599999999999999</v>
      </c>
      <c r="J10">
        <v>1.8599999999999999</v>
      </c>
      <c r="K10">
        <v>1.8599999999999999</v>
      </c>
      <c r="L10">
        <v>1.8599999999999999</v>
      </c>
      <c r="M10">
        <v>1.8599999999999999</v>
      </c>
      <c r="N10">
        <v>101.86</v>
      </c>
    </row>
    <row r="11" spans="1:66">
      <c r="A11">
        <v>4.5</v>
      </c>
      <c r="B11" s="1">
        <f>2*(1-D11)/SUM(D$3:D11)</f>
        <v>3.7082784061247799E-2</v>
      </c>
      <c r="C11" s="4" cm="1">
        <f t="array" ref="C11">linear(A10,A12,C10,C12,A11)</f>
        <v>3.70579188054753E-2</v>
      </c>
      <c r="D11">
        <f t="shared" si="0"/>
        <v>0.84769489039958457</v>
      </c>
      <c r="G11">
        <v>1.85413920306239</v>
      </c>
      <c r="H11">
        <v>1.85413920306239</v>
      </c>
      <c r="I11">
        <v>1.85413920306239</v>
      </c>
      <c r="J11">
        <v>1.85413920306239</v>
      </c>
      <c r="K11">
        <v>1.85413920306239</v>
      </c>
      <c r="L11">
        <v>1.85413920306239</v>
      </c>
      <c r="M11">
        <v>1.85413920306239</v>
      </c>
      <c r="N11">
        <v>1.85413920306239</v>
      </c>
      <c r="O11">
        <v>101.85413920306239</v>
      </c>
    </row>
    <row r="12" spans="1:66">
      <c r="A12">
        <v>5</v>
      </c>
      <c r="B12" s="6">
        <v>3.7150000000000002E-2</v>
      </c>
      <c r="C12" s="4">
        <v>3.7132189934042374E-2</v>
      </c>
      <c r="D12">
        <f>1/(1+C12/2)^(2*A12)</f>
        <v>0.83197033820348398</v>
      </c>
      <c r="E12" cm="1">
        <f t="array" ref="E12">pdiff(B12,A3:A12,C3:C12)</f>
        <v>-5.363781316702898E-4</v>
      </c>
      <c r="G12">
        <v>1.8575000000000002</v>
      </c>
      <c r="H12">
        <v>1.8575000000000002</v>
      </c>
      <c r="I12">
        <v>1.8575000000000002</v>
      </c>
      <c r="J12">
        <v>1.8575000000000002</v>
      </c>
      <c r="K12">
        <v>1.8575000000000002</v>
      </c>
      <c r="L12">
        <v>1.8575000000000002</v>
      </c>
      <c r="M12">
        <v>1.8575000000000002</v>
      </c>
      <c r="N12">
        <v>1.8575000000000002</v>
      </c>
      <c r="O12">
        <v>1.8575000000000002</v>
      </c>
      <c r="P12">
        <v>101.8575</v>
      </c>
    </row>
    <row r="13" spans="1:66">
      <c r="A13">
        <v>5.5</v>
      </c>
      <c r="B13" s="1">
        <f>2*(1-D13)/SUM(D$3:D13)</f>
        <v>3.7036017835645432E-2</v>
      </c>
      <c r="C13" s="5" cm="1">
        <f t="array" ref="C13">linear(A12,A14,C12,C14,A13)</f>
        <v>3.7009917650451682E-2</v>
      </c>
      <c r="D13">
        <f t="shared" si="0"/>
        <v>0.81734493211644144</v>
      </c>
      <c r="G13">
        <v>1.8518008917822717</v>
      </c>
      <c r="H13">
        <v>1.8518008917822717</v>
      </c>
      <c r="I13">
        <v>1.8518008917822717</v>
      </c>
      <c r="J13">
        <v>1.8518008917822717</v>
      </c>
      <c r="K13">
        <v>1.8518008917822717</v>
      </c>
      <c r="L13">
        <v>1.8518008917822717</v>
      </c>
      <c r="M13">
        <v>1.8518008917822717</v>
      </c>
      <c r="N13">
        <v>1.8518008917822717</v>
      </c>
      <c r="O13">
        <v>1.8518008917822717</v>
      </c>
      <c r="P13">
        <v>1.8518008917822717</v>
      </c>
      <c r="Q13">
        <v>101.85180089178228</v>
      </c>
    </row>
    <row r="14" spans="1:66">
      <c r="A14">
        <v>6</v>
      </c>
      <c r="B14" s="7">
        <v>3.7150000000000002E-2</v>
      </c>
      <c r="C14" s="4">
        <v>3.6887645366860997E-2</v>
      </c>
      <c r="D14">
        <f t="shared" si="0"/>
        <v>0.80307306511167376</v>
      </c>
      <c r="E14" cm="1">
        <f t="array" ref="E14">pdiff(B14,A3:A14,C3:C14)</f>
        <v>-0.12073549880192047</v>
      </c>
      <c r="G14">
        <v>1.8575000000000002</v>
      </c>
      <c r="H14">
        <v>1.8575000000000002</v>
      </c>
      <c r="I14">
        <v>1.8575000000000002</v>
      </c>
      <c r="J14">
        <v>1.8575000000000002</v>
      </c>
      <c r="K14">
        <v>1.8575000000000002</v>
      </c>
      <c r="L14">
        <v>1.8575000000000002</v>
      </c>
      <c r="M14">
        <v>1.8575000000000002</v>
      </c>
      <c r="N14">
        <v>1.8575000000000002</v>
      </c>
      <c r="O14">
        <v>1.8575000000000002</v>
      </c>
      <c r="P14">
        <v>1.8575000000000002</v>
      </c>
      <c r="Q14">
        <v>1.8575000000000002</v>
      </c>
      <c r="R14">
        <v>101.8575</v>
      </c>
    </row>
    <row r="15" spans="1:66">
      <c r="A15">
        <v>6.5</v>
      </c>
      <c r="B15" s="1">
        <f>2*(1-D15)/SUM(D$3:D15)</f>
        <v>3.7039068587794516E-2</v>
      </c>
      <c r="C15" s="5" cm="1">
        <f t="array" ref="C15">linear(A14,A16,C14,C16,A15)</f>
        <v>3.7019472935131047E-2</v>
      </c>
      <c r="D15">
        <f t="shared" si="0"/>
        <v>0.78786642784880434</v>
      </c>
      <c r="G15">
        <v>1.8519534293897257</v>
      </c>
      <c r="H15">
        <v>1.8519534293897257</v>
      </c>
      <c r="I15">
        <v>1.8519534293897257</v>
      </c>
      <c r="J15">
        <v>1.8519534293897257</v>
      </c>
      <c r="K15">
        <v>1.8519534293897257</v>
      </c>
      <c r="L15">
        <v>1.8519534293897257</v>
      </c>
      <c r="M15">
        <v>1.8519534293897257</v>
      </c>
      <c r="N15">
        <v>1.8519534293897257</v>
      </c>
      <c r="O15">
        <v>1.8519534293897257</v>
      </c>
      <c r="P15">
        <v>1.8519534293897257</v>
      </c>
      <c r="Q15">
        <v>1.8519534293897257</v>
      </c>
      <c r="R15">
        <v>1.8519534293897257</v>
      </c>
      <c r="S15">
        <v>101.85195342938972</v>
      </c>
    </row>
    <row r="16" spans="1:66">
      <c r="A16">
        <v>7</v>
      </c>
      <c r="B16" s="6">
        <v>3.7150000000000002E-2</v>
      </c>
      <c r="C16" s="4">
        <v>3.7151300503401097E-2</v>
      </c>
      <c r="D16">
        <f t="shared" si="0"/>
        <v>0.7728477412808803</v>
      </c>
      <c r="E16" cm="1">
        <f t="array" ref="E16">pdiff(B16,A3:A16,C3:C16)</f>
        <v>2.7703151191502684E-3</v>
      </c>
      <c r="G16">
        <v>1.8575000000000002</v>
      </c>
      <c r="H16">
        <v>1.8575000000000002</v>
      </c>
      <c r="I16">
        <v>1.8575000000000002</v>
      </c>
      <c r="J16">
        <v>1.8575000000000002</v>
      </c>
      <c r="K16">
        <v>1.8575000000000002</v>
      </c>
      <c r="L16">
        <v>1.8575000000000002</v>
      </c>
      <c r="M16">
        <v>1.8575000000000002</v>
      </c>
      <c r="N16">
        <v>1.8575000000000002</v>
      </c>
      <c r="O16">
        <v>1.8575000000000002</v>
      </c>
      <c r="P16">
        <v>1.8575000000000002</v>
      </c>
      <c r="Q16">
        <v>1.8575000000000002</v>
      </c>
      <c r="R16">
        <v>1.8575000000000002</v>
      </c>
      <c r="S16">
        <v>1.8575000000000002</v>
      </c>
      <c r="T16">
        <v>101.8575</v>
      </c>
    </row>
    <row r="17" spans="1:36">
      <c r="A17">
        <v>7.5</v>
      </c>
      <c r="B17" s="1">
        <f>2*(1-D17)/SUM(D$3:D17)</f>
        <v>3.718067241443293E-2</v>
      </c>
      <c r="C17" s="5" cm="1">
        <f t="array" ref="C17">linear(A16,A18,C16,C18,A17)</f>
        <v>3.7181346279413711E-2</v>
      </c>
      <c r="D17">
        <f t="shared" si="0"/>
        <v>0.75858556136832422</v>
      </c>
      <c r="G17">
        <v>1.8590336207216465</v>
      </c>
      <c r="H17">
        <v>1.8590336207216465</v>
      </c>
      <c r="I17">
        <v>1.8590336207216465</v>
      </c>
      <c r="J17">
        <v>1.8590336207216465</v>
      </c>
      <c r="K17">
        <v>1.8590336207216465</v>
      </c>
      <c r="L17">
        <v>1.8590336207216465</v>
      </c>
      <c r="M17">
        <v>1.8590336207216465</v>
      </c>
      <c r="N17">
        <v>1.8590336207216465</v>
      </c>
      <c r="O17">
        <v>1.8590336207216465</v>
      </c>
      <c r="P17">
        <v>1.8590336207216465</v>
      </c>
      <c r="Q17">
        <v>1.8590336207216465</v>
      </c>
      <c r="R17">
        <v>1.8590336207216465</v>
      </c>
      <c r="S17">
        <v>1.8590336207216465</v>
      </c>
      <c r="T17">
        <v>1.8590336207216465</v>
      </c>
      <c r="U17">
        <v>101.85903362072165</v>
      </c>
    </row>
    <row r="18" spans="1:36">
      <c r="A18">
        <v>8</v>
      </c>
      <c r="B18" s="6">
        <v>3.7199999999999997E-2</v>
      </c>
      <c r="C18" s="4">
        <v>3.7211392055426326E-2</v>
      </c>
      <c r="D18">
        <f t="shared" si="0"/>
        <v>0.74456461598966472</v>
      </c>
      <c r="E18" cm="1">
        <f t="array" ref="E18">pdiff(B18,A3:A18,C3:C18)</f>
        <v>4.6549335247050294E-3</v>
      </c>
      <c r="G18">
        <v>1.8599999999999999</v>
      </c>
      <c r="H18">
        <v>1.8599999999999999</v>
      </c>
      <c r="I18">
        <v>1.8599999999999999</v>
      </c>
      <c r="J18">
        <v>1.8599999999999999</v>
      </c>
      <c r="K18">
        <v>1.8599999999999999</v>
      </c>
      <c r="L18">
        <v>1.8599999999999999</v>
      </c>
      <c r="M18">
        <v>1.8599999999999999</v>
      </c>
      <c r="N18">
        <v>1.8599999999999999</v>
      </c>
      <c r="O18">
        <v>1.8599999999999999</v>
      </c>
      <c r="P18">
        <v>1.8599999999999999</v>
      </c>
      <c r="Q18">
        <v>1.8599999999999999</v>
      </c>
      <c r="R18">
        <v>1.8599999999999999</v>
      </c>
      <c r="S18">
        <v>1.8599999999999999</v>
      </c>
      <c r="T18">
        <v>1.8599999999999999</v>
      </c>
      <c r="U18">
        <v>1.8599999999999999</v>
      </c>
      <c r="V18">
        <v>101.86</v>
      </c>
    </row>
    <row r="19" spans="1:36">
      <c r="A19">
        <v>8.5</v>
      </c>
      <c r="B19" s="8">
        <f>2*(1-D19)/SUM(D$3:D19)</f>
        <v>3.723330909614081E-2</v>
      </c>
      <c r="C19" s="5" cm="1">
        <f t="array" ref="C19">linear(A18,A20,C18,C20,A19)</f>
        <v>3.724199807406009E-2</v>
      </c>
      <c r="D19">
        <f t="shared" si="0"/>
        <v>0.7307778498955857</v>
      </c>
      <c r="G19">
        <v>1.8616654548070404</v>
      </c>
      <c r="H19">
        <v>1.8616654548070404</v>
      </c>
      <c r="I19">
        <v>1.8616654548070404</v>
      </c>
      <c r="J19">
        <v>1.8616654548070404</v>
      </c>
      <c r="K19">
        <v>1.8616654548070404</v>
      </c>
      <c r="L19">
        <v>1.8616654548070404</v>
      </c>
      <c r="M19">
        <v>1.8616654548070404</v>
      </c>
      <c r="N19">
        <v>1.8616654548070404</v>
      </c>
      <c r="O19">
        <v>1.8616654548070404</v>
      </c>
      <c r="P19">
        <v>1.8616654548070404</v>
      </c>
      <c r="Q19">
        <v>1.8616654548070404</v>
      </c>
      <c r="R19">
        <v>1.8616654548070404</v>
      </c>
      <c r="S19">
        <v>1.8616654548070404</v>
      </c>
      <c r="T19">
        <v>1.8616654548070404</v>
      </c>
      <c r="U19">
        <v>1.8616654548070404</v>
      </c>
      <c r="V19">
        <v>1.8616654548070404</v>
      </c>
      <c r="W19">
        <v>101.86166545480704</v>
      </c>
    </row>
    <row r="20" spans="1:36">
      <c r="A20">
        <v>9</v>
      </c>
      <c r="B20" s="6">
        <v>3.7249999999999998E-2</v>
      </c>
      <c r="C20" s="4">
        <v>3.7272604092693853E-2</v>
      </c>
      <c r="D20">
        <f t="shared" si="0"/>
        <v>0.71722481942768557</v>
      </c>
      <c r="E20" cm="1">
        <f t="array" ref="E20">pdiff(B20,A3:A20,C3:C20)</f>
        <v>7.4031618343752825E-3</v>
      </c>
      <c r="G20">
        <v>1.8624999999999998</v>
      </c>
      <c r="H20">
        <v>1.8624999999999998</v>
      </c>
      <c r="I20">
        <v>1.8624999999999998</v>
      </c>
      <c r="J20">
        <v>1.8624999999999998</v>
      </c>
      <c r="K20">
        <v>1.8624999999999998</v>
      </c>
      <c r="L20">
        <v>1.8624999999999998</v>
      </c>
      <c r="M20">
        <v>1.8624999999999998</v>
      </c>
      <c r="N20">
        <v>1.8624999999999998</v>
      </c>
      <c r="O20">
        <v>1.8624999999999998</v>
      </c>
      <c r="P20">
        <v>1.8624999999999998</v>
      </c>
      <c r="Q20">
        <v>1.8624999999999998</v>
      </c>
      <c r="R20">
        <v>1.8624999999999998</v>
      </c>
      <c r="S20">
        <v>1.8624999999999998</v>
      </c>
      <c r="T20">
        <v>1.8624999999999998</v>
      </c>
      <c r="U20">
        <v>1.8624999999999998</v>
      </c>
      <c r="V20">
        <v>1.8624999999999998</v>
      </c>
      <c r="W20">
        <v>1.8624999999999998</v>
      </c>
      <c r="X20">
        <v>101.8625</v>
      </c>
    </row>
    <row r="21" spans="1:36">
      <c r="A21">
        <v>9.5</v>
      </c>
      <c r="B21" s="1">
        <f>2*(1-D21)/SUM(D$3:D21)</f>
        <v>3.7286644928160348E-2</v>
      </c>
      <c r="C21" s="5" cm="1">
        <f t="array" ref="C21">linear(A20,A22,C20,C22,A21)</f>
        <v>3.7303857176035266E-2</v>
      </c>
      <c r="D21">
        <f t="shared" si="0"/>
        <v>0.7038977492434193</v>
      </c>
      <c r="G21">
        <v>1.8643322464080174</v>
      </c>
      <c r="H21">
        <v>1.8643322464080174</v>
      </c>
      <c r="I21">
        <v>1.8643322464080174</v>
      </c>
      <c r="J21">
        <v>1.8643322464080174</v>
      </c>
      <c r="K21">
        <v>1.8643322464080174</v>
      </c>
      <c r="L21">
        <v>1.8643322464080174</v>
      </c>
      <c r="M21">
        <v>1.8643322464080174</v>
      </c>
      <c r="N21">
        <v>1.8643322464080174</v>
      </c>
      <c r="O21">
        <v>1.8643322464080174</v>
      </c>
      <c r="P21">
        <v>1.8643322464080174</v>
      </c>
      <c r="Q21">
        <v>1.8643322464080174</v>
      </c>
      <c r="R21">
        <v>1.8643322464080174</v>
      </c>
      <c r="S21">
        <v>1.8643322464080174</v>
      </c>
      <c r="T21">
        <v>1.8643322464080174</v>
      </c>
      <c r="U21">
        <v>1.8643322464080174</v>
      </c>
      <c r="V21">
        <v>1.8643322464080174</v>
      </c>
      <c r="W21">
        <v>1.8643322464080174</v>
      </c>
      <c r="X21">
        <v>1.8643322464080174</v>
      </c>
      <c r="Y21">
        <v>101.86433224640801</v>
      </c>
    </row>
    <row r="22" spans="1:36">
      <c r="A22">
        <v>10</v>
      </c>
      <c r="B22" s="7">
        <v>3.73E-2</v>
      </c>
      <c r="C22" s="4">
        <v>3.7335110259376678E-2</v>
      </c>
      <c r="D22">
        <f t="shared" si="0"/>
        <v>0.69079712375533697</v>
      </c>
      <c r="E22" cm="1">
        <f t="array" ref="E22">pdiff(B22,A3:A22,C3:C22)</f>
        <v>1.1120327979767808E-2</v>
      </c>
      <c r="G22">
        <v>1.865</v>
      </c>
      <c r="H22">
        <v>1.865</v>
      </c>
      <c r="I22">
        <v>1.865</v>
      </c>
      <c r="J22">
        <v>1.865</v>
      </c>
      <c r="K22">
        <v>1.865</v>
      </c>
      <c r="L22">
        <v>1.865</v>
      </c>
      <c r="M22">
        <v>1.865</v>
      </c>
      <c r="N22">
        <v>1.865</v>
      </c>
      <c r="O22">
        <v>1.865</v>
      </c>
      <c r="P22">
        <v>1.865</v>
      </c>
      <c r="Q22">
        <v>1.865</v>
      </c>
      <c r="R22">
        <v>1.865</v>
      </c>
      <c r="S22">
        <v>1.865</v>
      </c>
      <c r="T22">
        <v>1.865</v>
      </c>
      <c r="U22">
        <v>1.865</v>
      </c>
      <c r="V22">
        <v>1.865</v>
      </c>
      <c r="W22">
        <v>1.865</v>
      </c>
      <c r="X22">
        <v>1.865</v>
      </c>
      <c r="Y22">
        <v>1.865</v>
      </c>
      <c r="Z22">
        <v>101.86499999999999</v>
      </c>
    </row>
    <row r="23" spans="1:36">
      <c r="A23">
        <v>10.5</v>
      </c>
      <c r="B23" s="1">
        <f>2*(1-D23)/SUM(D$3:D23)</f>
        <v>3.7328021575875246E-2</v>
      </c>
      <c r="C23" s="5" cm="1">
        <f t="array" ref="C23">linear(A22,A24,C22,C24,A23)</f>
        <v>3.7351767771924893E-2</v>
      </c>
      <c r="D23">
        <f t="shared" si="0"/>
        <v>0.67802152133426241</v>
      </c>
      <c r="G23">
        <v>1.8664010787937624</v>
      </c>
      <c r="H23">
        <v>1.8664010787937624</v>
      </c>
      <c r="I23">
        <v>1.8664010787937624</v>
      </c>
      <c r="J23">
        <v>1.8664010787937624</v>
      </c>
      <c r="K23">
        <v>1.8664010787937624</v>
      </c>
      <c r="L23">
        <v>1.8664010787937624</v>
      </c>
      <c r="M23">
        <v>1.8664010787937624</v>
      </c>
      <c r="N23">
        <v>1.8664010787937624</v>
      </c>
      <c r="O23">
        <v>1.8664010787937624</v>
      </c>
      <c r="P23">
        <v>1.8664010787937624</v>
      </c>
      <c r="Q23">
        <v>1.8664010787937624</v>
      </c>
      <c r="R23">
        <v>1.8664010787937624</v>
      </c>
      <c r="S23">
        <v>1.8664010787937624</v>
      </c>
      <c r="T23">
        <v>1.8664010787937624</v>
      </c>
      <c r="U23">
        <v>1.8664010787937624</v>
      </c>
      <c r="V23">
        <v>1.8664010787937624</v>
      </c>
      <c r="W23">
        <v>1.8664010787937624</v>
      </c>
      <c r="X23">
        <v>1.8664010787937624</v>
      </c>
      <c r="Y23">
        <v>1.8664010787937624</v>
      </c>
      <c r="Z23">
        <v>1.8664010787937624</v>
      </c>
      <c r="AA23">
        <v>101.86640107879376</v>
      </c>
    </row>
    <row r="24" spans="1:36">
      <c r="A24">
        <v>11</v>
      </c>
      <c r="B24" s="6">
        <v>3.7324999999999997E-2</v>
      </c>
      <c r="C24" s="4">
        <v>3.7368425284473102E-2</v>
      </c>
      <c r="D24">
        <f t="shared" si="0"/>
        <v>0.66547130988907299</v>
      </c>
      <c r="E24" cm="1">
        <f t="array" ref="E24">pdiff(B24,A3:A24,C3:C24)</f>
        <v>1.5691618270949448E-2</v>
      </c>
      <c r="G24">
        <v>1.86625</v>
      </c>
      <c r="H24">
        <v>1.86625</v>
      </c>
      <c r="I24">
        <v>1.86625</v>
      </c>
      <c r="J24">
        <v>1.86625</v>
      </c>
      <c r="K24">
        <v>1.86625</v>
      </c>
      <c r="L24">
        <v>1.86625</v>
      </c>
      <c r="M24">
        <v>1.86625</v>
      </c>
      <c r="N24">
        <v>1.86625</v>
      </c>
      <c r="O24">
        <v>1.86625</v>
      </c>
      <c r="P24">
        <v>1.86625</v>
      </c>
      <c r="Q24">
        <v>1.86625</v>
      </c>
      <c r="R24">
        <v>1.86625</v>
      </c>
      <c r="S24">
        <v>1.86625</v>
      </c>
      <c r="T24">
        <v>1.86625</v>
      </c>
      <c r="U24">
        <v>1.86625</v>
      </c>
      <c r="V24">
        <v>1.86625</v>
      </c>
      <c r="W24">
        <v>1.86625</v>
      </c>
      <c r="X24">
        <v>1.86625</v>
      </c>
      <c r="Y24">
        <v>1.86625</v>
      </c>
      <c r="Z24">
        <v>1.86625</v>
      </c>
      <c r="AA24">
        <v>1.86625</v>
      </c>
      <c r="AB24">
        <v>101.86624999999999</v>
      </c>
    </row>
    <row r="25" spans="1:36">
      <c r="A25">
        <v>11.5</v>
      </c>
      <c r="B25" s="1">
        <f>2*(1-D25)/SUM(D$3:D25)</f>
        <v>3.7369860562929715E-2</v>
      </c>
      <c r="C25" s="5" cm="1">
        <f t="array" ref="C25">linear(A24,A26,C24,C26,A25)</f>
        <v>3.7401100983444187E-2</v>
      </c>
      <c r="D25">
        <f t="shared" si="0"/>
        <v>0.6530246281637565</v>
      </c>
      <c r="G25">
        <v>1.8684930281464858</v>
      </c>
      <c r="H25">
        <v>1.8684930281464858</v>
      </c>
      <c r="I25">
        <v>1.8684930281464858</v>
      </c>
      <c r="J25">
        <v>1.8684930281464858</v>
      </c>
      <c r="K25">
        <v>1.8684930281464858</v>
      </c>
      <c r="L25">
        <v>1.8684930281464858</v>
      </c>
      <c r="M25">
        <v>1.8684930281464858</v>
      </c>
      <c r="N25">
        <v>1.8684930281464858</v>
      </c>
      <c r="O25">
        <v>1.8684930281464858</v>
      </c>
      <c r="P25">
        <v>1.8684930281464858</v>
      </c>
      <c r="Q25">
        <v>1.8684930281464858</v>
      </c>
      <c r="R25">
        <v>1.8684930281464858</v>
      </c>
      <c r="S25">
        <v>1.8684930281464858</v>
      </c>
      <c r="T25">
        <v>1.8684930281464858</v>
      </c>
      <c r="U25">
        <v>1.8684930281464858</v>
      </c>
      <c r="V25">
        <v>1.8684930281464858</v>
      </c>
      <c r="W25">
        <v>1.8684930281464858</v>
      </c>
      <c r="X25">
        <v>1.8684930281464858</v>
      </c>
      <c r="Y25">
        <v>1.8684930281464858</v>
      </c>
      <c r="Z25">
        <v>1.8684930281464858</v>
      </c>
      <c r="AA25">
        <v>1.8684930281464858</v>
      </c>
      <c r="AB25">
        <v>1.8684930281464858</v>
      </c>
      <c r="AC25">
        <v>101.86849302814649</v>
      </c>
    </row>
    <row r="26" spans="1:36">
      <c r="A26">
        <v>12</v>
      </c>
      <c r="B26" s="6">
        <v>3.7374999999999999E-2</v>
      </c>
      <c r="C26" s="4">
        <v>3.7433776682415272E-2</v>
      </c>
      <c r="D26">
        <f t="shared" si="0"/>
        <v>0.64079019324415054</v>
      </c>
      <c r="E26" cm="1">
        <f t="array" ref="E26">pdiff(B26,A3:A26,C3:C26)</f>
        <v>2.1194903049845948E-2</v>
      </c>
      <c r="G26">
        <v>1.8687499999999999</v>
      </c>
      <c r="H26">
        <v>1.8687499999999999</v>
      </c>
      <c r="I26">
        <v>1.8687499999999999</v>
      </c>
      <c r="J26">
        <v>1.8687499999999999</v>
      </c>
      <c r="K26">
        <v>1.8687499999999999</v>
      </c>
      <c r="L26">
        <v>1.8687499999999999</v>
      </c>
      <c r="M26">
        <v>1.8687499999999999</v>
      </c>
      <c r="N26">
        <v>1.8687499999999999</v>
      </c>
      <c r="O26">
        <v>1.8687499999999999</v>
      </c>
      <c r="P26">
        <v>1.8687499999999999</v>
      </c>
      <c r="Q26">
        <v>1.8687499999999999</v>
      </c>
      <c r="R26">
        <v>1.8687499999999999</v>
      </c>
      <c r="S26">
        <v>1.8687499999999999</v>
      </c>
      <c r="T26">
        <v>1.8687499999999999</v>
      </c>
      <c r="U26">
        <v>1.8687499999999999</v>
      </c>
      <c r="V26">
        <v>1.8687499999999999</v>
      </c>
      <c r="W26">
        <v>1.8687499999999999</v>
      </c>
      <c r="X26">
        <v>1.8687499999999999</v>
      </c>
      <c r="Y26">
        <v>1.8687499999999999</v>
      </c>
      <c r="Z26">
        <v>1.8687499999999999</v>
      </c>
      <c r="AA26">
        <v>1.8687499999999999</v>
      </c>
      <c r="AB26">
        <v>1.8687499999999999</v>
      </c>
      <c r="AC26">
        <v>1.8687499999999999</v>
      </c>
      <c r="AD26">
        <v>101.86875000000001</v>
      </c>
    </row>
    <row r="27" spans="1:36">
      <c r="A27">
        <v>12.5</v>
      </c>
      <c r="B27" s="1">
        <f>2*(1-D27)/SUM(D$3:D27)</f>
        <v>3.7405936304636081E-2</v>
      </c>
      <c r="C27" s="5" cm="1">
        <f t="array" ref="C27">linear(A26,A29,C26,C29,A27)</f>
        <v>3.7443500174759468E-2</v>
      </c>
      <c r="D27">
        <f t="shared" si="0"/>
        <v>0.62894190947534256</v>
      </c>
      <c r="G27">
        <v>1.870296815231804</v>
      </c>
      <c r="H27">
        <v>1.870296815231804</v>
      </c>
      <c r="I27">
        <v>1.870296815231804</v>
      </c>
      <c r="J27">
        <v>1.870296815231804</v>
      </c>
      <c r="K27">
        <v>1.870296815231804</v>
      </c>
      <c r="L27">
        <v>1.870296815231804</v>
      </c>
      <c r="M27">
        <v>1.870296815231804</v>
      </c>
      <c r="N27">
        <v>1.870296815231804</v>
      </c>
      <c r="O27">
        <v>1.870296815231804</v>
      </c>
      <c r="P27">
        <v>1.870296815231804</v>
      </c>
      <c r="Q27">
        <v>1.870296815231804</v>
      </c>
      <c r="R27">
        <v>1.870296815231804</v>
      </c>
      <c r="S27">
        <v>1.870296815231804</v>
      </c>
      <c r="T27">
        <v>1.870296815231804</v>
      </c>
      <c r="U27">
        <v>1.870296815231804</v>
      </c>
      <c r="V27">
        <v>1.870296815231804</v>
      </c>
      <c r="W27">
        <v>1.870296815231804</v>
      </c>
      <c r="X27">
        <v>1.870296815231804</v>
      </c>
      <c r="Y27">
        <v>1.870296815231804</v>
      </c>
      <c r="Z27">
        <v>1.870296815231804</v>
      </c>
      <c r="AA27">
        <v>1.870296815231804</v>
      </c>
      <c r="AB27">
        <v>1.870296815231804</v>
      </c>
      <c r="AC27">
        <v>1.870296815231804</v>
      </c>
      <c r="AD27">
        <v>1.870296815231804</v>
      </c>
      <c r="AE27">
        <v>101.87029681523181</v>
      </c>
    </row>
    <row r="28" spans="1:36">
      <c r="A28">
        <v>13</v>
      </c>
      <c r="B28" s="1">
        <f>2*(1-D28)/SUM(D$3:D28)</f>
        <v>3.7414699124479499E-2</v>
      </c>
      <c r="C28" s="5" cm="1">
        <f t="array" ref="C28">linear(A27,A29,C27,C29,A28)</f>
        <v>3.7453223667103665E-2</v>
      </c>
      <c r="D28">
        <f t="shared" si="0"/>
        <v>0.61730681008013033</v>
      </c>
      <c r="G28">
        <v>1.870734956223975</v>
      </c>
      <c r="H28">
        <v>1.870734956223975</v>
      </c>
      <c r="I28">
        <v>1.870734956223975</v>
      </c>
      <c r="J28">
        <v>1.870734956223975</v>
      </c>
      <c r="K28">
        <v>1.870734956223975</v>
      </c>
      <c r="L28">
        <v>1.870734956223975</v>
      </c>
      <c r="M28">
        <v>1.870734956223975</v>
      </c>
      <c r="N28">
        <v>1.870734956223975</v>
      </c>
      <c r="O28">
        <v>1.870734956223975</v>
      </c>
      <c r="P28">
        <v>1.870734956223975</v>
      </c>
      <c r="Q28">
        <v>1.870734956223975</v>
      </c>
      <c r="R28">
        <v>1.870734956223975</v>
      </c>
      <c r="S28">
        <v>1.870734956223975</v>
      </c>
      <c r="T28">
        <v>1.870734956223975</v>
      </c>
      <c r="U28">
        <v>1.870734956223975</v>
      </c>
      <c r="V28">
        <v>1.870734956223975</v>
      </c>
      <c r="W28">
        <v>1.870734956223975</v>
      </c>
      <c r="X28">
        <v>1.870734956223975</v>
      </c>
      <c r="Y28">
        <v>1.870734956223975</v>
      </c>
      <c r="Z28">
        <v>1.870734956223975</v>
      </c>
      <c r="AA28">
        <v>1.870734956223975</v>
      </c>
      <c r="AB28">
        <v>1.870734956223975</v>
      </c>
      <c r="AC28">
        <v>1.870734956223975</v>
      </c>
      <c r="AD28">
        <v>1.870734956223975</v>
      </c>
      <c r="AE28">
        <v>1.870734956223975</v>
      </c>
      <c r="AF28">
        <v>101.87073495622397</v>
      </c>
    </row>
    <row r="29" spans="1:36">
      <c r="A29">
        <v>13.5</v>
      </c>
      <c r="B29" s="1">
        <f>2*(1-D29)/SUM(D$3:D29)</f>
        <v>3.7423359723389608E-2</v>
      </c>
      <c r="C29" s="5" cm="1">
        <f t="array" ref="C29">linear(A26,A32,C26,C32,A29)</f>
        <v>3.7462947159447868E-2</v>
      </c>
      <c r="D29">
        <f t="shared" si="0"/>
        <v>0.60588117134016584</v>
      </c>
      <c r="G29">
        <v>1.8711679861694803</v>
      </c>
      <c r="H29">
        <v>1.8711679861694803</v>
      </c>
      <c r="I29">
        <v>1.8711679861694803</v>
      </c>
      <c r="J29">
        <v>1.8711679861694803</v>
      </c>
      <c r="K29">
        <v>1.8711679861694803</v>
      </c>
      <c r="L29">
        <v>1.8711679861694803</v>
      </c>
      <c r="M29">
        <v>1.8711679861694803</v>
      </c>
      <c r="N29">
        <v>1.8711679861694803</v>
      </c>
      <c r="O29">
        <v>1.8711679861694803</v>
      </c>
      <c r="P29">
        <v>1.8711679861694803</v>
      </c>
      <c r="Q29">
        <v>1.8711679861694803</v>
      </c>
      <c r="R29">
        <v>1.8711679861694803</v>
      </c>
      <c r="S29">
        <v>1.8711679861694803</v>
      </c>
      <c r="T29">
        <v>1.8711679861694803</v>
      </c>
      <c r="U29">
        <v>1.8711679861694803</v>
      </c>
      <c r="V29">
        <v>1.8711679861694803</v>
      </c>
      <c r="W29">
        <v>1.8711679861694803</v>
      </c>
      <c r="X29">
        <v>1.8711679861694803</v>
      </c>
      <c r="Y29">
        <v>1.8711679861694803</v>
      </c>
      <c r="Z29">
        <v>1.8711679861694803</v>
      </c>
      <c r="AA29">
        <v>1.8711679861694803</v>
      </c>
      <c r="AB29">
        <v>1.8711679861694803</v>
      </c>
      <c r="AC29">
        <v>1.8711679861694803</v>
      </c>
      <c r="AD29">
        <v>1.8711679861694803</v>
      </c>
      <c r="AE29">
        <v>1.8711679861694803</v>
      </c>
      <c r="AF29">
        <v>1.8711679861694803</v>
      </c>
      <c r="AG29">
        <v>101.87116798616948</v>
      </c>
    </row>
    <row r="30" spans="1:36">
      <c r="A30">
        <v>14</v>
      </c>
      <c r="B30" s="1">
        <f>2*(1-D30)/SUM(D$3:D30)</f>
        <v>3.7431922750655384E-2</v>
      </c>
      <c r="C30" s="5" cm="1">
        <f t="array" ref="C30">linear(A29,A31,C29,C31,A30)</f>
        <v>3.7472670651792064E-2</v>
      </c>
      <c r="D30">
        <f t="shared" si="0"/>
        <v>0.5946613324972172</v>
      </c>
      <c r="G30">
        <v>1.8715961375327692</v>
      </c>
      <c r="H30">
        <v>1.8715961375327692</v>
      </c>
      <c r="I30">
        <v>1.8715961375327692</v>
      </c>
      <c r="J30">
        <v>1.8715961375327692</v>
      </c>
      <c r="K30">
        <v>1.8715961375327692</v>
      </c>
      <c r="L30">
        <v>1.8715961375327692</v>
      </c>
      <c r="M30">
        <v>1.8715961375327692</v>
      </c>
      <c r="N30">
        <v>1.8715961375327692</v>
      </c>
      <c r="O30">
        <v>1.8715961375327692</v>
      </c>
      <c r="P30">
        <v>1.8715961375327692</v>
      </c>
      <c r="Q30">
        <v>1.8715961375327692</v>
      </c>
      <c r="R30">
        <v>1.8715961375327692</v>
      </c>
      <c r="S30">
        <v>1.8715961375327692</v>
      </c>
      <c r="T30">
        <v>1.8715961375327692</v>
      </c>
      <c r="U30">
        <v>1.8715961375327692</v>
      </c>
      <c r="V30">
        <v>1.8715961375327692</v>
      </c>
      <c r="W30">
        <v>1.8715961375327692</v>
      </c>
      <c r="X30">
        <v>1.8715961375327692</v>
      </c>
      <c r="Y30">
        <v>1.8715961375327692</v>
      </c>
      <c r="Z30">
        <v>1.8715961375327692</v>
      </c>
      <c r="AA30">
        <v>1.8715961375327692</v>
      </c>
      <c r="AB30">
        <v>1.8715961375327692</v>
      </c>
      <c r="AC30">
        <v>1.8715961375327692</v>
      </c>
      <c r="AD30">
        <v>1.8715961375327692</v>
      </c>
      <c r="AE30">
        <v>1.8715961375327692</v>
      </c>
      <c r="AF30">
        <v>1.8715961375327692</v>
      </c>
      <c r="AG30">
        <v>1.8715961375327692</v>
      </c>
      <c r="AH30">
        <v>101.87159613753276</v>
      </c>
    </row>
    <row r="31" spans="1:36">
      <c r="A31">
        <v>14.5</v>
      </c>
      <c r="B31" s="1">
        <f>2*(1-D31)/SUM(D$3:D31)</f>
        <v>3.744039222842907E-2</v>
      </c>
      <c r="C31" s="5" cm="1">
        <f t="array" ref="C31">linear(A29,A32,C29,C32,A31)</f>
        <v>3.7482394144136261E-2</v>
      </c>
      <c r="D31">
        <f t="shared" si="0"/>
        <v>0.58364369472638211</v>
      </c>
      <c r="G31">
        <v>1.8720196114214536</v>
      </c>
      <c r="H31">
        <v>1.8720196114214536</v>
      </c>
      <c r="I31">
        <v>1.8720196114214536</v>
      </c>
      <c r="J31">
        <v>1.8720196114214536</v>
      </c>
      <c r="K31">
        <v>1.8720196114214536</v>
      </c>
      <c r="L31">
        <v>1.8720196114214536</v>
      </c>
      <c r="M31">
        <v>1.8720196114214536</v>
      </c>
      <c r="N31">
        <v>1.8720196114214536</v>
      </c>
      <c r="O31">
        <v>1.8720196114214536</v>
      </c>
      <c r="P31">
        <v>1.8720196114214536</v>
      </c>
      <c r="Q31">
        <v>1.8720196114214536</v>
      </c>
      <c r="R31">
        <v>1.8720196114214536</v>
      </c>
      <c r="S31">
        <v>1.8720196114214536</v>
      </c>
      <c r="T31">
        <v>1.8720196114214536</v>
      </c>
      <c r="U31">
        <v>1.8720196114214536</v>
      </c>
      <c r="V31">
        <v>1.8720196114214536</v>
      </c>
      <c r="W31">
        <v>1.8720196114214536</v>
      </c>
      <c r="X31">
        <v>1.8720196114214536</v>
      </c>
      <c r="Y31">
        <v>1.8720196114214536</v>
      </c>
      <c r="Z31">
        <v>1.8720196114214536</v>
      </c>
      <c r="AA31">
        <v>1.8720196114214536</v>
      </c>
      <c r="AB31">
        <v>1.8720196114214536</v>
      </c>
      <c r="AC31">
        <v>1.8720196114214536</v>
      </c>
      <c r="AD31">
        <v>1.8720196114214536</v>
      </c>
      <c r="AE31">
        <v>1.8720196114214536</v>
      </c>
      <c r="AF31">
        <v>1.8720196114214536</v>
      </c>
      <c r="AG31">
        <v>1.8720196114214536</v>
      </c>
      <c r="AH31">
        <v>1.8720196114214536</v>
      </c>
      <c r="AI31">
        <v>101.87201961142145</v>
      </c>
    </row>
    <row r="32" spans="1:36">
      <c r="A32">
        <v>15</v>
      </c>
      <c r="B32" s="6">
        <v>3.7400000000000003E-2</v>
      </c>
      <c r="C32" s="4">
        <v>3.7492117636480457E-2</v>
      </c>
      <c r="D32">
        <f t="shared" si="0"/>
        <v>0.57282472012540997</v>
      </c>
      <c r="E32" cm="1">
        <f t="array" ref="E32">pdiff(B32,A3:A32,C3:C32)</f>
        <v>5.563345677590803E-2</v>
      </c>
      <c r="G32">
        <v>1.87</v>
      </c>
      <c r="H32">
        <v>1.87</v>
      </c>
      <c r="I32">
        <v>1.87</v>
      </c>
      <c r="J32">
        <v>1.87</v>
      </c>
      <c r="K32">
        <v>1.87</v>
      </c>
      <c r="L32">
        <v>1.87</v>
      </c>
      <c r="M32">
        <v>1.87</v>
      </c>
      <c r="N32">
        <v>1.87</v>
      </c>
      <c r="O32">
        <v>1.87</v>
      </c>
      <c r="P32">
        <v>1.87</v>
      </c>
      <c r="Q32">
        <v>1.87</v>
      </c>
      <c r="R32">
        <v>1.87</v>
      </c>
      <c r="S32">
        <v>1.87</v>
      </c>
      <c r="T32">
        <v>1.87</v>
      </c>
      <c r="U32">
        <v>1.87</v>
      </c>
      <c r="V32">
        <v>1.87</v>
      </c>
      <c r="W32">
        <v>1.87</v>
      </c>
      <c r="X32">
        <v>1.87</v>
      </c>
      <c r="Y32">
        <v>1.87</v>
      </c>
      <c r="Z32">
        <v>1.87</v>
      </c>
      <c r="AA32">
        <v>1.87</v>
      </c>
      <c r="AB32">
        <v>1.87</v>
      </c>
      <c r="AC32">
        <v>1.87</v>
      </c>
      <c r="AD32">
        <v>1.87</v>
      </c>
      <c r="AE32">
        <v>1.87</v>
      </c>
      <c r="AF32">
        <v>1.87</v>
      </c>
      <c r="AG32">
        <v>1.87</v>
      </c>
      <c r="AH32">
        <v>1.87</v>
      </c>
      <c r="AI32">
        <v>1.87</v>
      </c>
      <c r="AJ32">
        <v>101.87</v>
      </c>
    </row>
    <row r="33" spans="1:52">
      <c r="A33">
        <v>15.5</v>
      </c>
      <c r="B33" s="1">
        <f>2*(1-D33)/SUM(D$3:D33)</f>
        <v>3.7404580724858125E-2</v>
      </c>
      <c r="C33" s="5" cm="1">
        <f t="array" ref="C33">linear(A32,A34,C32,C34,A33)</f>
        <v>3.7431482017648524E-2</v>
      </c>
      <c r="D33">
        <f t="shared" si="0"/>
        <v>0.56280309579983046</v>
      </c>
      <c r="G33">
        <v>1.8702290362429062</v>
      </c>
      <c r="H33">
        <v>1.8702290362429062</v>
      </c>
      <c r="I33">
        <v>1.8702290362429062</v>
      </c>
      <c r="J33">
        <v>1.8702290362429062</v>
      </c>
      <c r="K33">
        <v>1.8702290362429062</v>
      </c>
      <c r="L33">
        <v>1.8702290362429062</v>
      </c>
      <c r="M33">
        <v>1.8702290362429062</v>
      </c>
      <c r="N33">
        <v>1.8702290362429062</v>
      </c>
      <c r="O33">
        <v>1.8702290362429062</v>
      </c>
      <c r="P33">
        <v>1.8702290362429062</v>
      </c>
      <c r="Q33">
        <v>1.8702290362429062</v>
      </c>
      <c r="R33">
        <v>1.8702290362429062</v>
      </c>
      <c r="S33">
        <v>1.8702290362429062</v>
      </c>
      <c r="T33">
        <v>1.8702290362429062</v>
      </c>
      <c r="U33">
        <v>1.8702290362429062</v>
      </c>
      <c r="V33">
        <v>1.8702290362429062</v>
      </c>
      <c r="W33">
        <v>1.8702290362429062</v>
      </c>
      <c r="X33">
        <v>1.8702290362429062</v>
      </c>
      <c r="Y33">
        <v>1.8702290362429062</v>
      </c>
      <c r="Z33">
        <v>1.8702290362429062</v>
      </c>
      <c r="AA33">
        <v>1.8702290362429062</v>
      </c>
      <c r="AB33">
        <v>1.8702290362429062</v>
      </c>
      <c r="AC33">
        <v>1.8702290362429062</v>
      </c>
      <c r="AD33">
        <v>1.8702290362429062</v>
      </c>
      <c r="AE33">
        <v>1.8702290362429062</v>
      </c>
      <c r="AF33">
        <v>1.8702290362429062</v>
      </c>
      <c r="AG33">
        <v>1.8702290362429062</v>
      </c>
      <c r="AH33">
        <v>1.8702290362429062</v>
      </c>
      <c r="AI33">
        <v>1.8702290362429062</v>
      </c>
      <c r="AJ33">
        <v>1.8702290362429062</v>
      </c>
      <c r="AK33">
        <v>101.8702290362429</v>
      </c>
    </row>
    <row r="34" spans="1:52">
      <c r="A34">
        <v>16</v>
      </c>
      <c r="B34" s="1">
        <f>2*(1-D34)/SUM(D$3:D34)</f>
        <v>3.7360383778184861E-2</v>
      </c>
      <c r="C34" s="5" cm="1">
        <f t="array" ref="C34">linear(A32,A35,C32,C35,A34)</f>
        <v>3.7370846398816583E-2</v>
      </c>
      <c r="D34">
        <f t="shared" si="0"/>
        <v>0.5529897298204991</v>
      </c>
      <c r="G34">
        <v>1.868019188909243</v>
      </c>
      <c r="H34">
        <v>1.868019188909243</v>
      </c>
      <c r="I34">
        <v>1.868019188909243</v>
      </c>
      <c r="J34">
        <v>1.868019188909243</v>
      </c>
      <c r="K34">
        <v>1.868019188909243</v>
      </c>
      <c r="L34">
        <v>1.868019188909243</v>
      </c>
      <c r="M34">
        <v>1.868019188909243</v>
      </c>
      <c r="N34">
        <v>1.868019188909243</v>
      </c>
      <c r="O34">
        <v>1.868019188909243</v>
      </c>
      <c r="P34">
        <v>1.868019188909243</v>
      </c>
      <c r="Q34">
        <v>1.868019188909243</v>
      </c>
      <c r="R34">
        <v>1.868019188909243</v>
      </c>
      <c r="S34">
        <v>1.868019188909243</v>
      </c>
      <c r="T34">
        <v>1.868019188909243</v>
      </c>
      <c r="U34">
        <v>1.868019188909243</v>
      </c>
      <c r="V34">
        <v>1.868019188909243</v>
      </c>
      <c r="W34">
        <v>1.868019188909243</v>
      </c>
      <c r="X34">
        <v>1.868019188909243</v>
      </c>
      <c r="Y34">
        <v>1.868019188909243</v>
      </c>
      <c r="Z34">
        <v>1.868019188909243</v>
      </c>
      <c r="AA34">
        <v>1.868019188909243</v>
      </c>
      <c r="AB34">
        <v>1.868019188909243</v>
      </c>
      <c r="AC34">
        <v>1.868019188909243</v>
      </c>
      <c r="AD34">
        <v>1.868019188909243</v>
      </c>
      <c r="AE34">
        <v>1.868019188909243</v>
      </c>
      <c r="AF34">
        <v>1.868019188909243</v>
      </c>
      <c r="AG34">
        <v>1.868019188909243</v>
      </c>
      <c r="AH34">
        <v>1.868019188909243</v>
      </c>
      <c r="AI34">
        <v>1.868019188909243</v>
      </c>
      <c r="AJ34">
        <v>1.868019188909243</v>
      </c>
      <c r="AK34">
        <v>1.868019188909243</v>
      </c>
      <c r="AL34">
        <v>101.86801918890924</v>
      </c>
    </row>
    <row r="35" spans="1:52">
      <c r="A35">
        <v>16.5</v>
      </c>
      <c r="B35" s="1">
        <f>2*(1-D35)/SUM(D$3:D35)</f>
        <v>3.7316209135235E-2</v>
      </c>
      <c r="C35" s="5" cm="1">
        <f t="array" ref="C35">linear(A32,A37,C32,C37,A35)</f>
        <v>3.731021077998465E-2</v>
      </c>
      <c r="D35">
        <f t="shared" si="0"/>
        <v>0.54337983371822496</v>
      </c>
      <c r="G35">
        <v>1.8658104567617499</v>
      </c>
      <c r="H35">
        <v>1.8658104567617499</v>
      </c>
      <c r="I35">
        <v>1.8658104567617499</v>
      </c>
      <c r="J35">
        <v>1.8658104567617499</v>
      </c>
      <c r="K35">
        <v>1.8658104567617499</v>
      </c>
      <c r="L35">
        <v>1.8658104567617499</v>
      </c>
      <c r="M35">
        <v>1.8658104567617499</v>
      </c>
      <c r="N35">
        <v>1.8658104567617499</v>
      </c>
      <c r="O35">
        <v>1.8658104567617499</v>
      </c>
      <c r="P35">
        <v>1.8658104567617499</v>
      </c>
      <c r="Q35">
        <v>1.8658104567617499</v>
      </c>
      <c r="R35">
        <v>1.8658104567617499</v>
      </c>
      <c r="S35">
        <v>1.8658104567617499</v>
      </c>
      <c r="T35">
        <v>1.8658104567617499</v>
      </c>
      <c r="U35">
        <v>1.8658104567617499</v>
      </c>
      <c r="V35">
        <v>1.8658104567617499</v>
      </c>
      <c r="W35">
        <v>1.8658104567617499</v>
      </c>
      <c r="X35">
        <v>1.8658104567617499</v>
      </c>
      <c r="Y35">
        <v>1.8658104567617499</v>
      </c>
      <c r="Z35">
        <v>1.8658104567617499</v>
      </c>
      <c r="AA35">
        <v>1.8658104567617499</v>
      </c>
      <c r="AB35">
        <v>1.8658104567617499</v>
      </c>
      <c r="AC35">
        <v>1.8658104567617499</v>
      </c>
      <c r="AD35">
        <v>1.8658104567617499</v>
      </c>
      <c r="AE35">
        <v>1.8658104567617499</v>
      </c>
      <c r="AF35">
        <v>1.8658104567617499</v>
      </c>
      <c r="AG35">
        <v>1.8658104567617499</v>
      </c>
      <c r="AH35">
        <v>1.8658104567617499</v>
      </c>
      <c r="AI35">
        <v>1.8658104567617499</v>
      </c>
      <c r="AJ35">
        <v>1.8658104567617499</v>
      </c>
      <c r="AK35">
        <v>1.8658104567617499</v>
      </c>
      <c r="AL35">
        <v>1.8658104567617499</v>
      </c>
      <c r="AM35">
        <v>101.86581045676175</v>
      </c>
    </row>
    <row r="36" spans="1:52">
      <c r="A36">
        <v>17</v>
      </c>
      <c r="B36" s="1">
        <f>2*(1-D36)/SUM(D$3:D36)</f>
        <v>3.7272081537067771E-2</v>
      </c>
      <c r="C36" s="5" cm="1">
        <f t="array" ref="C36">linear(A35,A37,C35,C37,A36)</f>
        <v>3.7249575161152716E-2</v>
      </c>
      <c r="D36">
        <f t="shared" si="0"/>
        <v>0.53396873833773262</v>
      </c>
      <c r="G36">
        <v>1.8636040768533886</v>
      </c>
      <c r="H36">
        <v>1.8636040768533886</v>
      </c>
      <c r="I36">
        <v>1.8636040768533886</v>
      </c>
      <c r="J36">
        <v>1.8636040768533886</v>
      </c>
      <c r="K36">
        <v>1.8636040768533886</v>
      </c>
      <c r="L36">
        <v>1.8636040768533886</v>
      </c>
      <c r="M36">
        <v>1.8636040768533886</v>
      </c>
      <c r="N36">
        <v>1.8636040768533886</v>
      </c>
      <c r="O36">
        <v>1.8636040768533886</v>
      </c>
      <c r="P36">
        <v>1.8636040768533886</v>
      </c>
      <c r="Q36">
        <v>1.8636040768533886</v>
      </c>
      <c r="R36">
        <v>1.8636040768533886</v>
      </c>
      <c r="S36">
        <v>1.8636040768533886</v>
      </c>
      <c r="T36">
        <v>1.8636040768533886</v>
      </c>
      <c r="U36">
        <v>1.8636040768533886</v>
      </c>
      <c r="V36">
        <v>1.8636040768533886</v>
      </c>
      <c r="W36">
        <v>1.8636040768533886</v>
      </c>
      <c r="X36">
        <v>1.8636040768533886</v>
      </c>
      <c r="Y36">
        <v>1.8636040768533886</v>
      </c>
      <c r="Z36">
        <v>1.8636040768533886</v>
      </c>
      <c r="AA36">
        <v>1.8636040768533886</v>
      </c>
      <c r="AB36">
        <v>1.8636040768533886</v>
      </c>
      <c r="AC36">
        <v>1.8636040768533886</v>
      </c>
      <c r="AD36">
        <v>1.8636040768533886</v>
      </c>
      <c r="AE36">
        <v>1.8636040768533886</v>
      </c>
      <c r="AF36">
        <v>1.8636040768533886</v>
      </c>
      <c r="AG36">
        <v>1.8636040768533886</v>
      </c>
      <c r="AH36">
        <v>1.8636040768533886</v>
      </c>
      <c r="AI36">
        <v>1.8636040768533886</v>
      </c>
      <c r="AJ36">
        <v>1.8636040768533886</v>
      </c>
      <c r="AK36">
        <v>1.8636040768533886</v>
      </c>
      <c r="AL36">
        <v>1.8636040768533886</v>
      </c>
      <c r="AM36">
        <v>1.8636040768533886</v>
      </c>
      <c r="AN36">
        <v>101.86360407685339</v>
      </c>
    </row>
    <row r="37" spans="1:52">
      <c r="A37">
        <v>17.5</v>
      </c>
      <c r="B37" s="1">
        <f>2*(1-D37)/SUM(D$3:D37)</f>
        <v>3.7228022656561881E-2</v>
      </c>
      <c r="C37" s="5" cm="1">
        <f t="array" ref="C37">linear(A32,A42,C32,C42,A37)</f>
        <v>3.7188939542320783E-2</v>
      </c>
      <c r="D37">
        <f t="shared" si="0"/>
        <v>0.52475189066472283</v>
      </c>
      <c r="G37">
        <v>1.8614011328280939</v>
      </c>
      <c r="H37">
        <v>1.8614011328280939</v>
      </c>
      <c r="I37">
        <v>1.8614011328280939</v>
      </c>
      <c r="J37">
        <v>1.8614011328280939</v>
      </c>
      <c r="K37">
        <v>1.8614011328280939</v>
      </c>
      <c r="L37">
        <v>1.8614011328280939</v>
      </c>
      <c r="M37">
        <v>1.8614011328280939</v>
      </c>
      <c r="N37">
        <v>1.8614011328280939</v>
      </c>
      <c r="O37">
        <v>1.8614011328280939</v>
      </c>
      <c r="P37">
        <v>1.8614011328280939</v>
      </c>
      <c r="Q37">
        <v>1.8614011328280939</v>
      </c>
      <c r="R37">
        <v>1.8614011328280939</v>
      </c>
      <c r="S37">
        <v>1.8614011328280939</v>
      </c>
      <c r="T37">
        <v>1.8614011328280939</v>
      </c>
      <c r="U37">
        <v>1.8614011328280939</v>
      </c>
      <c r="V37">
        <v>1.8614011328280939</v>
      </c>
      <c r="W37">
        <v>1.8614011328280939</v>
      </c>
      <c r="X37">
        <v>1.8614011328280939</v>
      </c>
      <c r="Y37">
        <v>1.8614011328280939</v>
      </c>
      <c r="Z37">
        <v>1.8614011328280939</v>
      </c>
      <c r="AA37">
        <v>1.8614011328280939</v>
      </c>
      <c r="AB37">
        <v>1.8614011328280939</v>
      </c>
      <c r="AC37">
        <v>1.8614011328280939</v>
      </c>
      <c r="AD37">
        <v>1.8614011328280939</v>
      </c>
      <c r="AE37">
        <v>1.8614011328280939</v>
      </c>
      <c r="AF37">
        <v>1.8614011328280939</v>
      </c>
      <c r="AG37">
        <v>1.8614011328280939</v>
      </c>
      <c r="AH37">
        <v>1.8614011328280939</v>
      </c>
      <c r="AI37">
        <v>1.8614011328280939</v>
      </c>
      <c r="AJ37">
        <v>1.8614011328280939</v>
      </c>
      <c r="AK37">
        <v>1.8614011328280939</v>
      </c>
      <c r="AL37">
        <v>1.8614011328280939</v>
      </c>
      <c r="AM37">
        <v>1.8614011328280939</v>
      </c>
      <c r="AN37">
        <v>1.8614011328280939</v>
      </c>
      <c r="AO37">
        <v>101.86140113282809</v>
      </c>
    </row>
    <row r="38" spans="1:52">
      <c r="A38">
        <v>18</v>
      </c>
      <c r="B38" s="1">
        <f>2*(1-D38)/SUM(D$3:D38)</f>
        <v>3.7184051523028588E-2</v>
      </c>
      <c r="C38" s="5" cm="1">
        <f t="array" ref="C38">linear(A37,A39,C37,C39,A38)</f>
        <v>3.7128303923488849E-2</v>
      </c>
      <c r="D38">
        <f t="shared" si="0"/>
        <v>0.51572485074218166</v>
      </c>
      <c r="G38">
        <v>1.8592025761514295</v>
      </c>
      <c r="H38">
        <v>1.8592025761514295</v>
      </c>
      <c r="I38">
        <v>1.8592025761514295</v>
      </c>
      <c r="J38">
        <v>1.8592025761514295</v>
      </c>
      <c r="K38">
        <v>1.8592025761514295</v>
      </c>
      <c r="L38">
        <v>1.8592025761514295</v>
      </c>
      <c r="M38">
        <v>1.8592025761514295</v>
      </c>
      <c r="N38">
        <v>1.8592025761514295</v>
      </c>
      <c r="O38">
        <v>1.8592025761514295</v>
      </c>
      <c r="P38">
        <v>1.8592025761514295</v>
      </c>
      <c r="Q38">
        <v>1.8592025761514295</v>
      </c>
      <c r="R38">
        <v>1.8592025761514295</v>
      </c>
      <c r="S38">
        <v>1.8592025761514295</v>
      </c>
      <c r="T38">
        <v>1.8592025761514295</v>
      </c>
      <c r="U38">
        <v>1.8592025761514295</v>
      </c>
      <c r="V38">
        <v>1.8592025761514295</v>
      </c>
      <c r="W38">
        <v>1.8592025761514295</v>
      </c>
      <c r="X38">
        <v>1.8592025761514295</v>
      </c>
      <c r="Y38">
        <v>1.8592025761514295</v>
      </c>
      <c r="Z38">
        <v>1.8592025761514295</v>
      </c>
      <c r="AA38">
        <v>1.8592025761514295</v>
      </c>
      <c r="AB38">
        <v>1.8592025761514295</v>
      </c>
      <c r="AC38">
        <v>1.8592025761514295</v>
      </c>
      <c r="AD38">
        <v>1.8592025761514295</v>
      </c>
      <c r="AE38">
        <v>1.8592025761514295</v>
      </c>
      <c r="AF38">
        <v>1.8592025761514295</v>
      </c>
      <c r="AG38">
        <v>1.8592025761514295</v>
      </c>
      <c r="AH38">
        <v>1.8592025761514295</v>
      </c>
      <c r="AI38">
        <v>1.8592025761514295</v>
      </c>
      <c r="AJ38">
        <v>1.8592025761514295</v>
      </c>
      <c r="AK38">
        <v>1.8592025761514295</v>
      </c>
      <c r="AL38">
        <v>1.8592025761514295</v>
      </c>
      <c r="AM38">
        <v>1.8592025761514295</v>
      </c>
      <c r="AN38">
        <v>1.8592025761514295</v>
      </c>
      <c r="AO38">
        <v>1.8592025761514295</v>
      </c>
      <c r="AP38">
        <v>101.85920257615143</v>
      </c>
    </row>
    <row r="39" spans="1:52">
      <c r="A39">
        <v>18.5</v>
      </c>
      <c r="B39" s="1">
        <f>2*(1-D39)/SUM(D$3:D39)</f>
        <v>3.7140184878270609E-2</v>
      </c>
      <c r="C39" s="5" cm="1">
        <f t="array" ref="C39">linear(A37,A42,C37,C42,A39)</f>
        <v>3.7067668304656916E-2</v>
      </c>
      <c r="D39">
        <f t="shared" si="0"/>
        <v>0.5068832886732324</v>
      </c>
      <c r="G39">
        <v>1.8570092439135304</v>
      </c>
      <c r="H39">
        <v>1.8570092439135304</v>
      </c>
      <c r="I39">
        <v>1.8570092439135304</v>
      </c>
      <c r="J39">
        <v>1.8570092439135304</v>
      </c>
      <c r="K39">
        <v>1.8570092439135304</v>
      </c>
      <c r="L39">
        <v>1.8570092439135304</v>
      </c>
      <c r="M39">
        <v>1.8570092439135304</v>
      </c>
      <c r="N39">
        <v>1.8570092439135304</v>
      </c>
      <c r="O39">
        <v>1.8570092439135304</v>
      </c>
      <c r="P39">
        <v>1.8570092439135304</v>
      </c>
      <c r="Q39">
        <v>1.8570092439135304</v>
      </c>
      <c r="R39">
        <v>1.8570092439135304</v>
      </c>
      <c r="S39">
        <v>1.8570092439135304</v>
      </c>
      <c r="T39">
        <v>1.8570092439135304</v>
      </c>
      <c r="U39">
        <v>1.8570092439135304</v>
      </c>
      <c r="V39">
        <v>1.8570092439135304</v>
      </c>
      <c r="W39">
        <v>1.8570092439135304</v>
      </c>
      <c r="X39">
        <v>1.8570092439135304</v>
      </c>
      <c r="Y39">
        <v>1.8570092439135304</v>
      </c>
      <c r="Z39">
        <v>1.8570092439135304</v>
      </c>
      <c r="AA39">
        <v>1.8570092439135304</v>
      </c>
      <c r="AB39">
        <v>1.8570092439135304</v>
      </c>
      <c r="AC39">
        <v>1.8570092439135304</v>
      </c>
      <c r="AD39">
        <v>1.8570092439135304</v>
      </c>
      <c r="AE39">
        <v>1.8570092439135304</v>
      </c>
      <c r="AF39">
        <v>1.8570092439135304</v>
      </c>
      <c r="AG39">
        <v>1.8570092439135304</v>
      </c>
      <c r="AH39">
        <v>1.8570092439135304</v>
      </c>
      <c r="AI39">
        <v>1.8570092439135304</v>
      </c>
      <c r="AJ39">
        <v>1.8570092439135304</v>
      </c>
      <c r="AK39">
        <v>1.8570092439135304</v>
      </c>
      <c r="AL39">
        <v>1.8570092439135304</v>
      </c>
      <c r="AM39">
        <v>1.8570092439135304</v>
      </c>
      <c r="AN39">
        <v>1.8570092439135304</v>
      </c>
      <c r="AO39">
        <v>1.8570092439135304</v>
      </c>
      <c r="AP39">
        <v>1.8570092439135304</v>
      </c>
      <c r="AQ39">
        <v>101.85700924391352</v>
      </c>
    </row>
    <row r="40" spans="1:52">
      <c r="A40">
        <v>19</v>
      </c>
      <c r="B40" s="1">
        <f>2*(1-D40)/SUM(D$3:D40)</f>
        <v>3.7096437476666147E-2</v>
      </c>
      <c r="C40" s="5" cm="1">
        <f t="array" ref="C40">linear(A39,A42,C39,C42,A40)</f>
        <v>3.7007032685824975E-2</v>
      </c>
      <c r="D40">
        <f t="shared" si="0"/>
        <v>0.49822298170804818</v>
      </c>
      <c r="G40">
        <v>1.8548218738333073</v>
      </c>
      <c r="H40">
        <v>1.8548218738333073</v>
      </c>
      <c r="I40">
        <v>1.8548218738333073</v>
      </c>
      <c r="J40">
        <v>1.8548218738333073</v>
      </c>
      <c r="K40">
        <v>1.8548218738333073</v>
      </c>
      <c r="L40">
        <v>1.8548218738333073</v>
      </c>
      <c r="M40">
        <v>1.8548218738333073</v>
      </c>
      <c r="N40">
        <v>1.8548218738333073</v>
      </c>
      <c r="O40">
        <v>1.8548218738333073</v>
      </c>
      <c r="P40">
        <v>1.8548218738333073</v>
      </c>
      <c r="Q40">
        <v>1.8548218738333073</v>
      </c>
      <c r="R40">
        <v>1.8548218738333073</v>
      </c>
      <c r="S40">
        <v>1.8548218738333073</v>
      </c>
      <c r="T40">
        <v>1.8548218738333073</v>
      </c>
      <c r="U40">
        <v>1.8548218738333073</v>
      </c>
      <c r="V40">
        <v>1.8548218738333073</v>
      </c>
      <c r="W40">
        <v>1.8548218738333073</v>
      </c>
      <c r="X40">
        <v>1.8548218738333073</v>
      </c>
      <c r="Y40">
        <v>1.8548218738333073</v>
      </c>
      <c r="Z40">
        <v>1.8548218738333073</v>
      </c>
      <c r="AA40">
        <v>1.8548218738333073</v>
      </c>
      <c r="AB40">
        <v>1.8548218738333073</v>
      </c>
      <c r="AC40">
        <v>1.8548218738333073</v>
      </c>
      <c r="AD40">
        <v>1.8548218738333073</v>
      </c>
      <c r="AE40">
        <v>1.8548218738333073</v>
      </c>
      <c r="AF40">
        <v>1.8548218738333073</v>
      </c>
      <c r="AG40">
        <v>1.8548218738333073</v>
      </c>
      <c r="AH40">
        <v>1.8548218738333073</v>
      </c>
      <c r="AI40">
        <v>1.8548218738333073</v>
      </c>
      <c r="AJ40">
        <v>1.8548218738333073</v>
      </c>
      <c r="AK40">
        <v>1.8548218738333073</v>
      </c>
      <c r="AL40">
        <v>1.8548218738333073</v>
      </c>
      <c r="AM40">
        <v>1.8548218738333073</v>
      </c>
      <c r="AN40">
        <v>1.8548218738333073</v>
      </c>
      <c r="AO40">
        <v>1.8548218738333073</v>
      </c>
      <c r="AP40">
        <v>1.8548218738333073</v>
      </c>
      <c r="AQ40">
        <v>1.8548218738333073</v>
      </c>
      <c r="AR40">
        <v>101.8548218738333</v>
      </c>
    </row>
    <row r="41" spans="1:52">
      <c r="A41">
        <v>19.5</v>
      </c>
      <c r="B41" s="1">
        <f>2*(1-D41)/SUM(D$3:D41)</f>
        <v>3.7052822339294293E-2</v>
      </c>
      <c r="C41" s="5" cm="1">
        <f t="array" ref="C41">linear(A40,A42,C40,C42,A41)</f>
        <v>3.6946397066993042E-2</v>
      </c>
      <c r="D41">
        <f t="shared" si="0"/>
        <v>0.48973981141229295</v>
      </c>
      <c r="G41">
        <v>1.8526411169647146</v>
      </c>
      <c r="H41">
        <v>1.8526411169647146</v>
      </c>
      <c r="I41">
        <v>1.8526411169647146</v>
      </c>
      <c r="J41">
        <v>1.8526411169647146</v>
      </c>
      <c r="K41">
        <v>1.8526411169647146</v>
      </c>
      <c r="L41">
        <v>1.8526411169647146</v>
      </c>
      <c r="M41">
        <v>1.8526411169647146</v>
      </c>
      <c r="N41">
        <v>1.8526411169647146</v>
      </c>
      <c r="O41">
        <v>1.8526411169647146</v>
      </c>
      <c r="P41">
        <v>1.8526411169647146</v>
      </c>
      <c r="Q41">
        <v>1.8526411169647146</v>
      </c>
      <c r="R41">
        <v>1.8526411169647146</v>
      </c>
      <c r="S41">
        <v>1.8526411169647146</v>
      </c>
      <c r="T41">
        <v>1.8526411169647146</v>
      </c>
      <c r="U41">
        <v>1.8526411169647146</v>
      </c>
      <c r="V41">
        <v>1.8526411169647146</v>
      </c>
      <c r="W41">
        <v>1.8526411169647146</v>
      </c>
      <c r="X41">
        <v>1.8526411169647146</v>
      </c>
      <c r="Y41">
        <v>1.8526411169647146</v>
      </c>
      <c r="Z41">
        <v>1.8526411169647146</v>
      </c>
      <c r="AA41">
        <v>1.8526411169647146</v>
      </c>
      <c r="AB41">
        <v>1.8526411169647146</v>
      </c>
      <c r="AC41">
        <v>1.8526411169647146</v>
      </c>
      <c r="AD41">
        <v>1.8526411169647146</v>
      </c>
      <c r="AE41">
        <v>1.8526411169647146</v>
      </c>
      <c r="AF41">
        <v>1.8526411169647146</v>
      </c>
      <c r="AG41">
        <v>1.8526411169647146</v>
      </c>
      <c r="AH41">
        <v>1.8526411169647146</v>
      </c>
      <c r="AI41">
        <v>1.8526411169647146</v>
      </c>
      <c r="AJ41">
        <v>1.8526411169647146</v>
      </c>
      <c r="AK41">
        <v>1.8526411169647146</v>
      </c>
      <c r="AL41">
        <v>1.8526411169647146</v>
      </c>
      <c r="AM41">
        <v>1.8526411169647146</v>
      </c>
      <c r="AN41">
        <v>1.8526411169647146</v>
      </c>
      <c r="AO41">
        <v>1.8526411169647146</v>
      </c>
      <c r="AP41">
        <v>1.8526411169647146</v>
      </c>
      <c r="AQ41">
        <v>1.8526411169647146</v>
      </c>
      <c r="AR41">
        <v>1.8526411169647146</v>
      </c>
      <c r="AS41">
        <v>101.85264111696472</v>
      </c>
    </row>
    <row r="42" spans="1:52">
      <c r="A42">
        <v>20</v>
      </c>
      <c r="B42" s="7">
        <v>3.6949999999999997E-2</v>
      </c>
      <c r="C42" s="4">
        <v>3.6885761448161108E-2</v>
      </c>
      <c r="D42">
        <f t="shared" si="0"/>
        <v>0.48142976091471196</v>
      </c>
      <c r="E42" cm="1">
        <f t="array" ref="E42">pdiff(B42,A3:A42,C3:C42)</f>
        <v>8.31618116946089E-2</v>
      </c>
      <c r="G42">
        <v>1.8474999999999999</v>
      </c>
      <c r="H42">
        <v>1.8474999999999999</v>
      </c>
      <c r="I42">
        <v>1.8474999999999999</v>
      </c>
      <c r="J42">
        <v>1.8474999999999999</v>
      </c>
      <c r="K42">
        <v>1.8474999999999999</v>
      </c>
      <c r="L42">
        <v>1.8474999999999999</v>
      </c>
      <c r="M42">
        <v>1.8474999999999999</v>
      </c>
      <c r="N42">
        <v>1.8474999999999999</v>
      </c>
      <c r="O42">
        <v>1.8474999999999999</v>
      </c>
      <c r="P42">
        <v>1.8474999999999999</v>
      </c>
      <c r="Q42">
        <v>1.8474999999999999</v>
      </c>
      <c r="R42">
        <v>1.8474999999999999</v>
      </c>
      <c r="S42">
        <v>1.8474999999999999</v>
      </c>
      <c r="T42">
        <v>1.8474999999999999</v>
      </c>
      <c r="U42">
        <v>1.8474999999999999</v>
      </c>
      <c r="V42">
        <v>1.8474999999999999</v>
      </c>
      <c r="W42">
        <v>1.8474999999999999</v>
      </c>
      <c r="X42">
        <v>1.8474999999999999</v>
      </c>
      <c r="Y42">
        <v>1.8474999999999999</v>
      </c>
      <c r="Z42">
        <v>1.8474999999999999</v>
      </c>
      <c r="AA42">
        <v>1.8474999999999999</v>
      </c>
      <c r="AB42">
        <v>1.8474999999999999</v>
      </c>
      <c r="AC42">
        <v>1.8474999999999999</v>
      </c>
      <c r="AD42">
        <v>1.8474999999999999</v>
      </c>
      <c r="AE42">
        <v>1.8474999999999999</v>
      </c>
      <c r="AF42">
        <v>1.8474999999999999</v>
      </c>
      <c r="AG42">
        <v>1.8474999999999999</v>
      </c>
      <c r="AH42">
        <v>1.8474999999999999</v>
      </c>
      <c r="AI42">
        <v>1.8474999999999999</v>
      </c>
      <c r="AJ42">
        <v>1.8474999999999999</v>
      </c>
      <c r="AK42">
        <v>1.8474999999999999</v>
      </c>
      <c r="AL42">
        <v>1.8474999999999999</v>
      </c>
      <c r="AM42">
        <v>1.8474999999999999</v>
      </c>
      <c r="AN42">
        <v>1.8474999999999999</v>
      </c>
      <c r="AO42">
        <v>1.8474999999999999</v>
      </c>
      <c r="AP42">
        <v>1.8474999999999999</v>
      </c>
      <c r="AQ42">
        <v>1.8474999999999999</v>
      </c>
      <c r="AR42">
        <v>1.8474999999999999</v>
      </c>
      <c r="AS42">
        <v>1.8474999999999999</v>
      </c>
      <c r="AT42">
        <v>101.8475</v>
      </c>
    </row>
    <row r="43" spans="1:52">
      <c r="A43">
        <v>20.5</v>
      </c>
      <c r="B43" s="1">
        <f>2*(1-D43)/SUM(D$3:D43)</f>
        <v>3.6877842343444919E-2</v>
      </c>
      <c r="C43" s="5" cm="1">
        <f t="array" ref="C43">linear(A42,A44,C42,C44,A43)</f>
        <v>3.6695788423442399E-2</v>
      </c>
      <c r="D43">
        <f t="shared" si="0"/>
        <v>0.47452275510698966</v>
      </c>
      <c r="G43">
        <v>1.843892117172246</v>
      </c>
      <c r="H43">
        <v>1.843892117172246</v>
      </c>
      <c r="I43">
        <v>1.843892117172246</v>
      </c>
      <c r="J43">
        <v>1.843892117172246</v>
      </c>
      <c r="K43">
        <v>1.843892117172246</v>
      </c>
      <c r="L43">
        <v>1.843892117172246</v>
      </c>
      <c r="M43">
        <v>1.843892117172246</v>
      </c>
      <c r="N43">
        <v>1.843892117172246</v>
      </c>
      <c r="O43">
        <v>1.843892117172246</v>
      </c>
      <c r="P43">
        <v>1.843892117172246</v>
      </c>
      <c r="Q43">
        <v>1.843892117172246</v>
      </c>
      <c r="R43">
        <v>1.843892117172246</v>
      </c>
      <c r="S43">
        <v>1.843892117172246</v>
      </c>
      <c r="T43">
        <v>1.843892117172246</v>
      </c>
      <c r="U43">
        <v>1.843892117172246</v>
      </c>
      <c r="V43">
        <v>1.843892117172246</v>
      </c>
      <c r="W43">
        <v>1.843892117172246</v>
      </c>
      <c r="X43">
        <v>1.843892117172246</v>
      </c>
      <c r="Y43">
        <v>1.843892117172246</v>
      </c>
      <c r="Z43">
        <v>1.843892117172246</v>
      </c>
      <c r="AA43">
        <v>1.843892117172246</v>
      </c>
      <c r="AB43">
        <v>1.843892117172246</v>
      </c>
      <c r="AC43">
        <v>1.843892117172246</v>
      </c>
      <c r="AD43">
        <v>1.843892117172246</v>
      </c>
      <c r="AE43">
        <v>1.843892117172246</v>
      </c>
      <c r="AF43">
        <v>1.843892117172246</v>
      </c>
      <c r="AG43">
        <v>1.843892117172246</v>
      </c>
      <c r="AH43">
        <v>1.843892117172246</v>
      </c>
      <c r="AI43">
        <v>1.843892117172246</v>
      </c>
      <c r="AJ43">
        <v>1.843892117172246</v>
      </c>
      <c r="AK43">
        <v>1.843892117172246</v>
      </c>
      <c r="AL43">
        <v>1.843892117172246</v>
      </c>
      <c r="AM43">
        <v>1.843892117172246</v>
      </c>
      <c r="AN43">
        <v>1.843892117172246</v>
      </c>
      <c r="AO43">
        <v>1.843892117172246</v>
      </c>
      <c r="AP43">
        <v>1.843892117172246</v>
      </c>
      <c r="AQ43">
        <v>1.843892117172246</v>
      </c>
      <c r="AR43">
        <v>1.843892117172246</v>
      </c>
      <c r="AS43">
        <v>1.843892117172246</v>
      </c>
      <c r="AT43">
        <v>1.843892117172246</v>
      </c>
      <c r="AU43">
        <v>101.84389211717225</v>
      </c>
    </row>
    <row r="44" spans="1:52">
      <c r="A44">
        <v>21</v>
      </c>
      <c r="B44" s="1">
        <f>2*(1-D44)/SUM(D$3:D44)</f>
        <v>3.6746289475604023E-2</v>
      </c>
      <c r="C44" s="5" cm="1">
        <f t="array" ref="C44">linear(A42,A45,C42,C45,A44)</f>
        <v>3.650581539872369E-2</v>
      </c>
      <c r="D44">
        <f t="shared" si="0"/>
        <v>0.46780227046709866</v>
      </c>
      <c r="G44">
        <v>1.8373144737802012</v>
      </c>
      <c r="H44">
        <v>1.8373144737802012</v>
      </c>
      <c r="I44">
        <v>1.8373144737802012</v>
      </c>
      <c r="J44">
        <v>1.8373144737802012</v>
      </c>
      <c r="K44">
        <v>1.8373144737802012</v>
      </c>
      <c r="L44">
        <v>1.8373144737802012</v>
      </c>
      <c r="M44">
        <v>1.8373144737802012</v>
      </c>
      <c r="N44">
        <v>1.8373144737802012</v>
      </c>
      <c r="O44">
        <v>1.8373144737802012</v>
      </c>
      <c r="P44">
        <v>1.8373144737802012</v>
      </c>
      <c r="Q44">
        <v>1.8373144737802012</v>
      </c>
      <c r="R44">
        <v>1.8373144737802012</v>
      </c>
      <c r="S44">
        <v>1.8373144737802012</v>
      </c>
      <c r="T44">
        <v>1.8373144737802012</v>
      </c>
      <c r="U44">
        <v>1.8373144737802012</v>
      </c>
      <c r="V44">
        <v>1.8373144737802012</v>
      </c>
      <c r="W44">
        <v>1.8373144737802012</v>
      </c>
      <c r="X44">
        <v>1.8373144737802012</v>
      </c>
      <c r="Y44">
        <v>1.8373144737802012</v>
      </c>
      <c r="Z44">
        <v>1.8373144737802012</v>
      </c>
      <c r="AA44">
        <v>1.8373144737802012</v>
      </c>
      <c r="AB44">
        <v>1.8373144737802012</v>
      </c>
      <c r="AC44">
        <v>1.8373144737802012</v>
      </c>
      <c r="AD44">
        <v>1.8373144737802012</v>
      </c>
      <c r="AE44">
        <v>1.8373144737802012</v>
      </c>
      <c r="AF44">
        <v>1.8373144737802012</v>
      </c>
      <c r="AG44">
        <v>1.8373144737802012</v>
      </c>
      <c r="AH44">
        <v>1.8373144737802012</v>
      </c>
      <c r="AI44">
        <v>1.8373144737802012</v>
      </c>
      <c r="AJ44">
        <v>1.8373144737802012</v>
      </c>
      <c r="AK44">
        <v>1.8373144737802012</v>
      </c>
      <c r="AL44">
        <v>1.8373144737802012</v>
      </c>
      <c r="AM44">
        <v>1.8373144737802012</v>
      </c>
      <c r="AN44">
        <v>1.8373144737802012</v>
      </c>
      <c r="AO44">
        <v>1.8373144737802012</v>
      </c>
      <c r="AP44">
        <v>1.8373144737802012</v>
      </c>
      <c r="AQ44">
        <v>1.8373144737802012</v>
      </c>
      <c r="AR44">
        <v>1.8373144737802012</v>
      </c>
      <c r="AS44">
        <v>1.8373144737802012</v>
      </c>
      <c r="AT44">
        <v>1.8373144737802012</v>
      </c>
      <c r="AU44">
        <v>1.8373144737802012</v>
      </c>
      <c r="AV44">
        <v>101.8373144737802</v>
      </c>
    </row>
    <row r="45" spans="1:52">
      <c r="A45">
        <v>21.5</v>
      </c>
      <c r="B45" s="1">
        <f>2*(1-D45)/SUM(D$3:D45)</f>
        <v>3.6614726906530476E-2</v>
      </c>
      <c r="C45" s="5" cm="1">
        <f t="array" ref="C45">linear(A42,A47,C42,C47,A45)</f>
        <v>3.6315842374004981E-2</v>
      </c>
      <c r="D45">
        <f t="shared" si="0"/>
        <v>0.46126318278472755</v>
      </c>
      <c r="G45">
        <v>1.8307363453265237</v>
      </c>
      <c r="H45">
        <v>1.8307363453265237</v>
      </c>
      <c r="I45">
        <v>1.8307363453265237</v>
      </c>
      <c r="J45">
        <v>1.8307363453265237</v>
      </c>
      <c r="K45">
        <v>1.8307363453265237</v>
      </c>
      <c r="L45">
        <v>1.8307363453265237</v>
      </c>
      <c r="M45">
        <v>1.8307363453265237</v>
      </c>
      <c r="N45">
        <v>1.8307363453265237</v>
      </c>
      <c r="O45">
        <v>1.8307363453265237</v>
      </c>
      <c r="P45">
        <v>1.8307363453265237</v>
      </c>
      <c r="Q45">
        <v>1.8307363453265237</v>
      </c>
      <c r="R45">
        <v>1.8307363453265237</v>
      </c>
      <c r="S45">
        <v>1.8307363453265237</v>
      </c>
      <c r="T45">
        <v>1.8307363453265237</v>
      </c>
      <c r="U45">
        <v>1.8307363453265237</v>
      </c>
      <c r="V45">
        <v>1.8307363453265237</v>
      </c>
      <c r="W45">
        <v>1.8307363453265237</v>
      </c>
      <c r="X45">
        <v>1.8307363453265237</v>
      </c>
      <c r="Y45">
        <v>1.8307363453265237</v>
      </c>
      <c r="Z45">
        <v>1.8307363453265237</v>
      </c>
      <c r="AA45">
        <v>1.8307363453265237</v>
      </c>
      <c r="AB45">
        <v>1.8307363453265237</v>
      </c>
      <c r="AC45">
        <v>1.8307363453265237</v>
      </c>
      <c r="AD45">
        <v>1.8307363453265237</v>
      </c>
      <c r="AE45">
        <v>1.8307363453265237</v>
      </c>
      <c r="AF45">
        <v>1.8307363453265237</v>
      </c>
      <c r="AG45">
        <v>1.8307363453265237</v>
      </c>
      <c r="AH45">
        <v>1.8307363453265237</v>
      </c>
      <c r="AI45">
        <v>1.8307363453265237</v>
      </c>
      <c r="AJ45">
        <v>1.8307363453265237</v>
      </c>
      <c r="AK45">
        <v>1.8307363453265237</v>
      </c>
      <c r="AL45">
        <v>1.8307363453265237</v>
      </c>
      <c r="AM45">
        <v>1.8307363453265237</v>
      </c>
      <c r="AN45">
        <v>1.8307363453265237</v>
      </c>
      <c r="AO45">
        <v>1.8307363453265237</v>
      </c>
      <c r="AP45">
        <v>1.8307363453265237</v>
      </c>
      <c r="AQ45">
        <v>1.8307363453265237</v>
      </c>
      <c r="AR45">
        <v>1.8307363453265237</v>
      </c>
      <c r="AS45">
        <v>1.8307363453265237</v>
      </c>
      <c r="AT45">
        <v>1.8307363453265237</v>
      </c>
      <c r="AU45">
        <v>1.8307363453265237</v>
      </c>
      <c r="AV45">
        <v>1.8307363453265237</v>
      </c>
      <c r="AW45">
        <v>101.83073634532653</v>
      </c>
    </row>
    <row r="46" spans="1:52">
      <c r="A46">
        <v>22</v>
      </c>
      <c r="B46" s="1">
        <f>2*(1-D46)/SUM(D$3:D46)</f>
        <v>3.6483184702379191E-2</v>
      </c>
      <c r="C46" s="5" cm="1">
        <f t="array" ref="C46">linear(A45,A47,C45,C47,A46)</f>
        <v>3.6125869349286271E-2</v>
      </c>
      <c r="D46">
        <f t="shared" si="0"/>
        <v>0.4549005404598363</v>
      </c>
      <c r="G46">
        <v>1.8241592351189595</v>
      </c>
      <c r="H46">
        <v>1.8241592351189595</v>
      </c>
      <c r="I46">
        <v>1.8241592351189595</v>
      </c>
      <c r="J46">
        <v>1.8241592351189595</v>
      </c>
      <c r="K46">
        <v>1.8241592351189595</v>
      </c>
      <c r="L46">
        <v>1.8241592351189595</v>
      </c>
      <c r="M46">
        <v>1.8241592351189595</v>
      </c>
      <c r="N46">
        <v>1.8241592351189595</v>
      </c>
      <c r="O46">
        <v>1.8241592351189595</v>
      </c>
      <c r="P46">
        <v>1.8241592351189595</v>
      </c>
      <c r="Q46">
        <v>1.8241592351189595</v>
      </c>
      <c r="R46">
        <v>1.8241592351189595</v>
      </c>
      <c r="S46">
        <v>1.8241592351189595</v>
      </c>
      <c r="T46">
        <v>1.8241592351189595</v>
      </c>
      <c r="U46">
        <v>1.8241592351189595</v>
      </c>
      <c r="V46">
        <v>1.8241592351189595</v>
      </c>
      <c r="W46">
        <v>1.8241592351189595</v>
      </c>
      <c r="X46">
        <v>1.8241592351189595</v>
      </c>
      <c r="Y46">
        <v>1.8241592351189595</v>
      </c>
      <c r="Z46">
        <v>1.8241592351189595</v>
      </c>
      <c r="AA46">
        <v>1.8241592351189595</v>
      </c>
      <c r="AB46">
        <v>1.8241592351189595</v>
      </c>
      <c r="AC46">
        <v>1.8241592351189595</v>
      </c>
      <c r="AD46">
        <v>1.8241592351189595</v>
      </c>
      <c r="AE46">
        <v>1.8241592351189595</v>
      </c>
      <c r="AF46">
        <v>1.8241592351189595</v>
      </c>
      <c r="AG46">
        <v>1.8241592351189595</v>
      </c>
      <c r="AH46">
        <v>1.8241592351189595</v>
      </c>
      <c r="AI46">
        <v>1.8241592351189595</v>
      </c>
      <c r="AJ46">
        <v>1.8241592351189595</v>
      </c>
      <c r="AK46">
        <v>1.8241592351189595</v>
      </c>
      <c r="AL46">
        <v>1.8241592351189595</v>
      </c>
      <c r="AM46">
        <v>1.8241592351189595</v>
      </c>
      <c r="AN46">
        <v>1.8241592351189595</v>
      </c>
      <c r="AO46">
        <v>1.8241592351189595</v>
      </c>
      <c r="AP46">
        <v>1.8241592351189595</v>
      </c>
      <c r="AQ46">
        <v>1.8241592351189595</v>
      </c>
      <c r="AR46">
        <v>1.8241592351189595</v>
      </c>
      <c r="AS46">
        <v>1.8241592351189595</v>
      </c>
      <c r="AT46">
        <v>1.8241592351189595</v>
      </c>
      <c r="AU46">
        <v>1.8241592351189595</v>
      </c>
      <c r="AV46">
        <v>1.8241592351189595</v>
      </c>
      <c r="AW46">
        <v>1.8241592351189595</v>
      </c>
      <c r="AX46">
        <v>101.82415923511896</v>
      </c>
    </row>
    <row r="47" spans="1:52">
      <c r="A47">
        <v>22.5</v>
      </c>
      <c r="B47" s="1">
        <f>2*(1-D47)/SUM(D$3:D47)</f>
        <v>3.6351688952252617E-2</v>
      </c>
      <c r="C47" s="5" cm="1">
        <f t="array" ref="C47">linear(A42,A52,C42,C52,A47)</f>
        <v>3.5935896324567562E-2</v>
      </c>
      <c r="D47">
        <f t="shared" si="0"/>
        <v>0.44870955844014343</v>
      </c>
      <c r="G47">
        <v>1.8175844476126308</v>
      </c>
      <c r="H47">
        <v>1.8175844476126308</v>
      </c>
      <c r="I47">
        <v>1.8175844476126308</v>
      </c>
      <c r="J47">
        <v>1.8175844476126308</v>
      </c>
      <c r="K47">
        <v>1.8175844476126308</v>
      </c>
      <c r="L47">
        <v>1.8175844476126308</v>
      </c>
      <c r="M47">
        <v>1.8175844476126308</v>
      </c>
      <c r="N47">
        <v>1.8175844476126308</v>
      </c>
      <c r="O47">
        <v>1.8175844476126308</v>
      </c>
      <c r="P47">
        <v>1.8175844476126308</v>
      </c>
      <c r="Q47">
        <v>1.8175844476126308</v>
      </c>
      <c r="R47">
        <v>1.8175844476126308</v>
      </c>
      <c r="S47">
        <v>1.8175844476126308</v>
      </c>
      <c r="T47">
        <v>1.8175844476126308</v>
      </c>
      <c r="U47">
        <v>1.8175844476126308</v>
      </c>
      <c r="V47">
        <v>1.8175844476126308</v>
      </c>
      <c r="W47">
        <v>1.8175844476126308</v>
      </c>
      <c r="X47">
        <v>1.8175844476126308</v>
      </c>
      <c r="Y47">
        <v>1.8175844476126308</v>
      </c>
      <c r="Z47">
        <v>1.8175844476126308</v>
      </c>
      <c r="AA47">
        <v>1.8175844476126308</v>
      </c>
      <c r="AB47">
        <v>1.8175844476126308</v>
      </c>
      <c r="AC47">
        <v>1.8175844476126308</v>
      </c>
      <c r="AD47">
        <v>1.8175844476126308</v>
      </c>
      <c r="AE47">
        <v>1.8175844476126308</v>
      </c>
      <c r="AF47">
        <v>1.8175844476126308</v>
      </c>
      <c r="AG47">
        <v>1.8175844476126308</v>
      </c>
      <c r="AH47">
        <v>1.8175844476126308</v>
      </c>
      <c r="AI47">
        <v>1.8175844476126308</v>
      </c>
      <c r="AJ47">
        <v>1.8175844476126308</v>
      </c>
      <c r="AK47">
        <v>1.8175844476126308</v>
      </c>
      <c r="AL47">
        <v>1.8175844476126308</v>
      </c>
      <c r="AM47">
        <v>1.8175844476126308</v>
      </c>
      <c r="AN47">
        <v>1.8175844476126308</v>
      </c>
      <c r="AO47">
        <v>1.8175844476126308</v>
      </c>
      <c r="AP47">
        <v>1.8175844476126308</v>
      </c>
      <c r="AQ47">
        <v>1.8175844476126308</v>
      </c>
      <c r="AR47">
        <v>1.8175844476126308</v>
      </c>
      <c r="AS47">
        <v>1.8175844476126308</v>
      </c>
      <c r="AT47">
        <v>1.8175844476126308</v>
      </c>
      <c r="AU47">
        <v>1.8175844476126308</v>
      </c>
      <c r="AV47">
        <v>1.8175844476126308</v>
      </c>
      <c r="AW47">
        <v>1.8175844476126308</v>
      </c>
      <c r="AX47">
        <v>1.8175844476126308</v>
      </c>
      <c r="AY47">
        <v>101.81758444761263</v>
      </c>
    </row>
    <row r="48" spans="1:52">
      <c r="A48">
        <v>23</v>
      </c>
      <c r="B48" s="1">
        <f>2*(1-D48)/SUM(D$3:D48)</f>
        <v>3.6220262200757351E-2</v>
      </c>
      <c r="C48" s="5" cm="1">
        <f t="array" ref="C48">linear(A47,A49,C47,C49,A48)</f>
        <v>3.5745923299848853E-2</v>
      </c>
      <c r="D48">
        <f t="shared" si="0"/>
        <v>0.4426856123961912</v>
      </c>
      <c r="G48">
        <v>1.8110131100378675</v>
      </c>
      <c r="H48">
        <v>1.8110131100378675</v>
      </c>
      <c r="I48">
        <v>1.8110131100378675</v>
      </c>
      <c r="J48">
        <v>1.8110131100378675</v>
      </c>
      <c r="K48">
        <v>1.8110131100378675</v>
      </c>
      <c r="L48">
        <v>1.8110131100378675</v>
      </c>
      <c r="M48">
        <v>1.8110131100378675</v>
      </c>
      <c r="N48">
        <v>1.8110131100378675</v>
      </c>
      <c r="O48">
        <v>1.8110131100378675</v>
      </c>
      <c r="P48">
        <v>1.8110131100378675</v>
      </c>
      <c r="Q48">
        <v>1.8110131100378675</v>
      </c>
      <c r="R48">
        <v>1.8110131100378675</v>
      </c>
      <c r="S48">
        <v>1.8110131100378675</v>
      </c>
      <c r="T48">
        <v>1.8110131100378675</v>
      </c>
      <c r="U48">
        <v>1.8110131100378675</v>
      </c>
      <c r="V48">
        <v>1.8110131100378675</v>
      </c>
      <c r="W48">
        <v>1.8110131100378675</v>
      </c>
      <c r="X48">
        <v>1.8110131100378675</v>
      </c>
      <c r="Y48">
        <v>1.8110131100378675</v>
      </c>
      <c r="Z48">
        <v>1.8110131100378675</v>
      </c>
      <c r="AA48">
        <v>1.8110131100378675</v>
      </c>
      <c r="AB48">
        <v>1.8110131100378675</v>
      </c>
      <c r="AC48">
        <v>1.8110131100378675</v>
      </c>
      <c r="AD48">
        <v>1.8110131100378675</v>
      </c>
      <c r="AE48">
        <v>1.8110131100378675</v>
      </c>
      <c r="AF48">
        <v>1.8110131100378675</v>
      </c>
      <c r="AG48">
        <v>1.8110131100378675</v>
      </c>
      <c r="AH48">
        <v>1.8110131100378675</v>
      </c>
      <c r="AI48">
        <v>1.8110131100378675</v>
      </c>
      <c r="AJ48">
        <v>1.8110131100378675</v>
      </c>
      <c r="AK48">
        <v>1.8110131100378675</v>
      </c>
      <c r="AL48">
        <v>1.8110131100378675</v>
      </c>
      <c r="AM48">
        <v>1.8110131100378675</v>
      </c>
      <c r="AN48">
        <v>1.8110131100378675</v>
      </c>
      <c r="AO48">
        <v>1.8110131100378675</v>
      </c>
      <c r="AP48">
        <v>1.8110131100378675</v>
      </c>
      <c r="AQ48">
        <v>1.8110131100378675</v>
      </c>
      <c r="AR48">
        <v>1.8110131100378675</v>
      </c>
      <c r="AS48">
        <v>1.8110131100378675</v>
      </c>
      <c r="AT48">
        <v>1.8110131100378675</v>
      </c>
      <c r="AU48">
        <v>1.8110131100378675</v>
      </c>
      <c r="AV48">
        <v>1.8110131100378675</v>
      </c>
      <c r="AW48">
        <v>1.8110131100378675</v>
      </c>
      <c r="AX48">
        <v>1.8110131100378675</v>
      </c>
      <c r="AY48">
        <v>1.8110131100378675</v>
      </c>
      <c r="AZ48">
        <v>101.81101311003786</v>
      </c>
    </row>
    <row r="49" spans="1:66">
      <c r="A49">
        <v>23.5</v>
      </c>
      <c r="B49" s="1">
        <f>2*(1-D49)/SUM(D$3:D49)</f>
        <v>3.6088923825815467E-2</v>
      </c>
      <c r="C49" s="5" cm="1">
        <f t="array" ref="C49">linear(A47,A52,C47,C52,A49)</f>
        <v>3.5555950275130144E-2</v>
      </c>
      <c r="D49">
        <f t="shared" si="0"/>
        <v>0.436824233124258</v>
      </c>
      <c r="G49">
        <v>1.8044461912907734</v>
      </c>
      <c r="H49">
        <v>1.8044461912907734</v>
      </c>
      <c r="I49">
        <v>1.8044461912907734</v>
      </c>
      <c r="J49">
        <v>1.8044461912907734</v>
      </c>
      <c r="K49">
        <v>1.8044461912907734</v>
      </c>
      <c r="L49">
        <v>1.8044461912907734</v>
      </c>
      <c r="M49">
        <v>1.8044461912907734</v>
      </c>
      <c r="N49">
        <v>1.8044461912907734</v>
      </c>
      <c r="O49">
        <v>1.8044461912907734</v>
      </c>
      <c r="P49">
        <v>1.8044461912907734</v>
      </c>
      <c r="Q49">
        <v>1.8044461912907734</v>
      </c>
      <c r="R49">
        <v>1.8044461912907734</v>
      </c>
      <c r="S49">
        <v>1.8044461912907734</v>
      </c>
      <c r="T49">
        <v>1.8044461912907734</v>
      </c>
      <c r="U49">
        <v>1.8044461912907734</v>
      </c>
      <c r="V49">
        <v>1.8044461912907734</v>
      </c>
      <c r="W49">
        <v>1.8044461912907734</v>
      </c>
      <c r="X49">
        <v>1.8044461912907734</v>
      </c>
      <c r="Y49">
        <v>1.8044461912907734</v>
      </c>
      <c r="Z49">
        <v>1.8044461912907734</v>
      </c>
      <c r="AA49">
        <v>1.8044461912907734</v>
      </c>
      <c r="AB49">
        <v>1.8044461912907734</v>
      </c>
      <c r="AC49">
        <v>1.8044461912907734</v>
      </c>
      <c r="AD49">
        <v>1.8044461912907734</v>
      </c>
      <c r="AE49">
        <v>1.8044461912907734</v>
      </c>
      <c r="AF49">
        <v>1.8044461912907734</v>
      </c>
      <c r="AG49">
        <v>1.8044461912907734</v>
      </c>
      <c r="AH49">
        <v>1.8044461912907734</v>
      </c>
      <c r="AI49">
        <v>1.8044461912907734</v>
      </c>
      <c r="AJ49">
        <v>1.8044461912907734</v>
      </c>
      <c r="AK49">
        <v>1.8044461912907734</v>
      </c>
      <c r="AL49">
        <v>1.8044461912907734</v>
      </c>
      <c r="AM49">
        <v>1.8044461912907734</v>
      </c>
      <c r="AN49">
        <v>1.8044461912907734</v>
      </c>
      <c r="AO49">
        <v>1.8044461912907734</v>
      </c>
      <c r="AP49">
        <v>1.8044461912907734</v>
      </c>
      <c r="AQ49">
        <v>1.8044461912907734</v>
      </c>
      <c r="AR49">
        <v>1.8044461912907734</v>
      </c>
      <c r="AS49">
        <v>1.8044461912907734</v>
      </c>
      <c r="AT49">
        <v>1.8044461912907734</v>
      </c>
      <c r="AU49">
        <v>1.8044461912907734</v>
      </c>
      <c r="AV49">
        <v>1.8044461912907734</v>
      </c>
      <c r="AW49">
        <v>1.8044461912907734</v>
      </c>
      <c r="AX49">
        <v>1.8044461912907734</v>
      </c>
      <c r="AY49">
        <v>1.8044461912907734</v>
      </c>
      <c r="AZ49">
        <v>1.8044461912907734</v>
      </c>
      <c r="BA49">
        <v>101.80444619129078</v>
      </c>
    </row>
    <row r="50" spans="1:66">
      <c r="A50">
        <v>24</v>
      </c>
      <c r="B50" s="1">
        <f>2*(1-D50)/SUM(D$3:D50)</f>
        <v>3.595769036960373E-2</v>
      </c>
      <c r="C50" s="5" cm="1">
        <f t="array" ref="C50">linear(A49,A52,C49,C52,A50)</f>
        <v>3.5365977250411434E-2</v>
      </c>
      <c r="D50">
        <f t="shared" si="0"/>
        <v>0.43112110116786584</v>
      </c>
      <c r="G50">
        <v>1.7978845184801866</v>
      </c>
      <c r="H50">
        <v>1.7978845184801866</v>
      </c>
      <c r="I50">
        <v>1.7978845184801866</v>
      </c>
      <c r="J50">
        <v>1.7978845184801866</v>
      </c>
      <c r="K50">
        <v>1.7978845184801866</v>
      </c>
      <c r="L50">
        <v>1.7978845184801866</v>
      </c>
      <c r="M50">
        <v>1.7978845184801866</v>
      </c>
      <c r="N50">
        <v>1.7978845184801866</v>
      </c>
      <c r="O50">
        <v>1.7978845184801866</v>
      </c>
      <c r="P50">
        <v>1.7978845184801866</v>
      </c>
      <c r="Q50">
        <v>1.7978845184801866</v>
      </c>
      <c r="R50">
        <v>1.7978845184801866</v>
      </c>
      <c r="S50">
        <v>1.7978845184801866</v>
      </c>
      <c r="T50">
        <v>1.7978845184801866</v>
      </c>
      <c r="U50">
        <v>1.7978845184801866</v>
      </c>
      <c r="V50">
        <v>1.7978845184801866</v>
      </c>
      <c r="W50">
        <v>1.7978845184801866</v>
      </c>
      <c r="X50">
        <v>1.7978845184801866</v>
      </c>
      <c r="Y50">
        <v>1.7978845184801866</v>
      </c>
      <c r="Z50">
        <v>1.7978845184801866</v>
      </c>
      <c r="AA50">
        <v>1.7978845184801866</v>
      </c>
      <c r="AB50">
        <v>1.7978845184801866</v>
      </c>
      <c r="AC50">
        <v>1.7978845184801866</v>
      </c>
      <c r="AD50">
        <v>1.7978845184801866</v>
      </c>
      <c r="AE50">
        <v>1.7978845184801866</v>
      </c>
      <c r="AF50">
        <v>1.7978845184801866</v>
      </c>
      <c r="AG50">
        <v>1.7978845184801866</v>
      </c>
      <c r="AH50">
        <v>1.7978845184801866</v>
      </c>
      <c r="AI50">
        <v>1.7978845184801866</v>
      </c>
      <c r="AJ50">
        <v>1.7978845184801866</v>
      </c>
      <c r="AK50">
        <v>1.7978845184801866</v>
      </c>
      <c r="AL50">
        <v>1.7978845184801866</v>
      </c>
      <c r="AM50">
        <v>1.7978845184801866</v>
      </c>
      <c r="AN50">
        <v>1.7978845184801866</v>
      </c>
      <c r="AO50">
        <v>1.7978845184801866</v>
      </c>
      <c r="AP50">
        <v>1.7978845184801866</v>
      </c>
      <c r="AQ50">
        <v>1.7978845184801866</v>
      </c>
      <c r="AR50">
        <v>1.7978845184801866</v>
      </c>
      <c r="AS50">
        <v>1.7978845184801866</v>
      </c>
      <c r="AT50">
        <v>1.7978845184801866</v>
      </c>
      <c r="AU50">
        <v>1.7978845184801866</v>
      </c>
      <c r="AV50">
        <v>1.7978845184801866</v>
      </c>
      <c r="AW50">
        <v>1.7978845184801866</v>
      </c>
      <c r="AX50">
        <v>1.7978845184801866</v>
      </c>
      <c r="AY50">
        <v>1.7978845184801866</v>
      </c>
      <c r="AZ50">
        <v>1.7978845184801866</v>
      </c>
      <c r="BA50">
        <v>1.7978845184801866</v>
      </c>
      <c r="BB50">
        <v>101.79788451848019</v>
      </c>
    </row>
    <row r="51" spans="1:66">
      <c r="A51">
        <v>24.5</v>
      </c>
      <c r="B51" s="1">
        <f>2*(1-D51)/SUM(D$3:D51)</f>
        <v>3.5826575829225264E-2</v>
      </c>
      <c r="C51" s="5" cm="1">
        <f t="array" ref="C51">linear(A50,A52,C50,C52,A51)</f>
        <v>3.5176004225692725E-2</v>
      </c>
      <c r="D51">
        <f t="shared" si="0"/>
        <v>0.42557204164901413</v>
      </c>
      <c r="G51">
        <v>1.7913287914612632</v>
      </c>
      <c r="H51">
        <v>1.7913287914612632</v>
      </c>
      <c r="I51">
        <v>1.7913287914612632</v>
      </c>
      <c r="J51">
        <v>1.7913287914612632</v>
      </c>
      <c r="K51">
        <v>1.7913287914612632</v>
      </c>
      <c r="L51">
        <v>1.7913287914612632</v>
      </c>
      <c r="M51">
        <v>1.7913287914612632</v>
      </c>
      <c r="N51">
        <v>1.7913287914612632</v>
      </c>
      <c r="O51">
        <v>1.7913287914612632</v>
      </c>
      <c r="P51">
        <v>1.7913287914612632</v>
      </c>
      <c r="Q51">
        <v>1.7913287914612632</v>
      </c>
      <c r="R51">
        <v>1.7913287914612632</v>
      </c>
      <c r="S51">
        <v>1.7913287914612632</v>
      </c>
      <c r="T51">
        <v>1.7913287914612632</v>
      </c>
      <c r="U51">
        <v>1.7913287914612632</v>
      </c>
      <c r="V51">
        <v>1.7913287914612632</v>
      </c>
      <c r="W51">
        <v>1.7913287914612632</v>
      </c>
      <c r="X51">
        <v>1.7913287914612632</v>
      </c>
      <c r="Y51">
        <v>1.7913287914612632</v>
      </c>
      <c r="Z51">
        <v>1.7913287914612632</v>
      </c>
      <c r="AA51">
        <v>1.7913287914612632</v>
      </c>
      <c r="AB51">
        <v>1.7913287914612632</v>
      </c>
      <c r="AC51">
        <v>1.7913287914612632</v>
      </c>
      <c r="AD51">
        <v>1.7913287914612632</v>
      </c>
      <c r="AE51">
        <v>1.7913287914612632</v>
      </c>
      <c r="AF51">
        <v>1.7913287914612632</v>
      </c>
      <c r="AG51">
        <v>1.7913287914612632</v>
      </c>
      <c r="AH51">
        <v>1.7913287914612632</v>
      </c>
      <c r="AI51">
        <v>1.7913287914612632</v>
      </c>
      <c r="AJ51">
        <v>1.7913287914612632</v>
      </c>
      <c r="AK51">
        <v>1.7913287914612632</v>
      </c>
      <c r="AL51">
        <v>1.7913287914612632</v>
      </c>
      <c r="AM51">
        <v>1.7913287914612632</v>
      </c>
      <c r="AN51">
        <v>1.7913287914612632</v>
      </c>
      <c r="AO51">
        <v>1.7913287914612632</v>
      </c>
      <c r="AP51">
        <v>1.7913287914612632</v>
      </c>
      <c r="AQ51">
        <v>1.7913287914612632</v>
      </c>
      <c r="AR51">
        <v>1.7913287914612632</v>
      </c>
      <c r="AS51">
        <v>1.7913287914612632</v>
      </c>
      <c r="AT51">
        <v>1.7913287914612632</v>
      </c>
      <c r="AU51">
        <v>1.7913287914612632</v>
      </c>
      <c r="AV51">
        <v>1.7913287914612632</v>
      </c>
      <c r="AW51">
        <v>1.7913287914612632</v>
      </c>
      <c r="AX51">
        <v>1.7913287914612632</v>
      </c>
      <c r="AY51">
        <v>1.7913287914612632</v>
      </c>
      <c r="AZ51">
        <v>1.7913287914612632</v>
      </c>
      <c r="BA51">
        <v>1.7913287914612632</v>
      </c>
      <c r="BB51">
        <v>1.7913287914612632</v>
      </c>
      <c r="BC51">
        <v>101.79132879146127</v>
      </c>
    </row>
    <row r="52" spans="1:66">
      <c r="A52">
        <v>25</v>
      </c>
      <c r="B52" s="6">
        <v>3.5749999999999997E-2</v>
      </c>
      <c r="C52" s="4">
        <v>3.4986031200974023E-2</v>
      </c>
      <c r="D52">
        <f t="shared" si="0"/>
        <v>0.42017301930059792</v>
      </c>
      <c r="E52" cm="1">
        <f t="array" ref="E52">pdiff(B52,A3:A52,C3:C52)</f>
        <v>-8.8378635307776676E-2</v>
      </c>
      <c r="G52">
        <v>1.7874999999999999</v>
      </c>
      <c r="H52">
        <v>1.7874999999999999</v>
      </c>
      <c r="I52">
        <v>1.7874999999999999</v>
      </c>
      <c r="J52">
        <v>1.7874999999999999</v>
      </c>
      <c r="K52">
        <v>1.7874999999999999</v>
      </c>
      <c r="L52">
        <v>1.7874999999999999</v>
      </c>
      <c r="M52">
        <v>1.7874999999999999</v>
      </c>
      <c r="N52">
        <v>1.7874999999999999</v>
      </c>
      <c r="O52">
        <v>1.7874999999999999</v>
      </c>
      <c r="P52">
        <v>1.7874999999999999</v>
      </c>
      <c r="Q52">
        <v>1.7874999999999999</v>
      </c>
      <c r="R52">
        <v>1.7874999999999999</v>
      </c>
      <c r="S52">
        <v>1.7874999999999999</v>
      </c>
      <c r="T52">
        <v>1.7874999999999999</v>
      </c>
      <c r="U52">
        <v>1.7874999999999999</v>
      </c>
      <c r="V52">
        <v>1.7874999999999999</v>
      </c>
      <c r="W52">
        <v>1.7874999999999999</v>
      </c>
      <c r="X52">
        <v>1.7874999999999999</v>
      </c>
      <c r="Y52">
        <v>1.7874999999999999</v>
      </c>
      <c r="Z52">
        <v>1.7874999999999999</v>
      </c>
      <c r="AA52">
        <v>1.7874999999999999</v>
      </c>
      <c r="AB52">
        <v>1.7874999999999999</v>
      </c>
      <c r="AC52">
        <v>1.7874999999999999</v>
      </c>
      <c r="AD52">
        <v>1.7874999999999999</v>
      </c>
      <c r="AE52">
        <v>1.7874999999999999</v>
      </c>
      <c r="AF52">
        <v>1.7874999999999999</v>
      </c>
      <c r="AG52">
        <v>1.7874999999999999</v>
      </c>
      <c r="AH52">
        <v>1.7874999999999999</v>
      </c>
      <c r="AI52">
        <v>1.7874999999999999</v>
      </c>
      <c r="AJ52">
        <v>1.7874999999999999</v>
      </c>
      <c r="AK52">
        <v>1.7874999999999999</v>
      </c>
      <c r="AL52">
        <v>1.7874999999999999</v>
      </c>
      <c r="AM52">
        <v>1.7874999999999999</v>
      </c>
      <c r="AN52">
        <v>1.7874999999999999</v>
      </c>
      <c r="AO52">
        <v>1.7874999999999999</v>
      </c>
      <c r="AP52">
        <v>1.7874999999999999</v>
      </c>
      <c r="AQ52">
        <v>1.7874999999999999</v>
      </c>
      <c r="AR52">
        <v>1.7874999999999999</v>
      </c>
      <c r="AS52">
        <v>1.7874999999999999</v>
      </c>
      <c r="AT52">
        <v>1.7874999999999999</v>
      </c>
      <c r="AU52">
        <v>1.7874999999999999</v>
      </c>
      <c r="AV52">
        <v>1.7874999999999999</v>
      </c>
      <c r="AW52">
        <v>1.7874999999999999</v>
      </c>
      <c r="AX52">
        <v>1.7874999999999999</v>
      </c>
      <c r="AY52">
        <v>1.7874999999999999</v>
      </c>
      <c r="AZ52">
        <v>1.7874999999999999</v>
      </c>
      <c r="BA52">
        <v>1.7874999999999999</v>
      </c>
      <c r="BB52">
        <v>1.7874999999999999</v>
      </c>
      <c r="BC52">
        <v>1.7874999999999999</v>
      </c>
      <c r="BD52">
        <v>101.78749999999999</v>
      </c>
    </row>
    <row r="53" spans="1:66">
      <c r="A53">
        <v>25.5</v>
      </c>
      <c r="B53" s="1">
        <f>2*(1-D53)/SUM(D$3:D53)</f>
        <v>3.5569677125113872E-2</v>
      </c>
      <c r="C53" s="5" cm="1">
        <f t="array" ref="C53">linear(A52,A54,C52,C54,A53)</f>
        <v>3.4803719691393002E-2</v>
      </c>
      <c r="D53">
        <f t="shared" si="0"/>
        <v>0.41484046531930735</v>
      </c>
      <c r="G53">
        <v>1.7784838562556935</v>
      </c>
      <c r="H53">
        <v>1.7784838562556935</v>
      </c>
      <c r="I53">
        <v>1.7784838562556935</v>
      </c>
      <c r="J53">
        <v>1.7784838562556935</v>
      </c>
      <c r="K53">
        <v>1.7784838562556935</v>
      </c>
      <c r="L53">
        <v>1.7784838562556935</v>
      </c>
      <c r="M53">
        <v>1.7784838562556935</v>
      </c>
      <c r="N53">
        <v>1.7784838562556935</v>
      </c>
      <c r="O53">
        <v>1.7784838562556935</v>
      </c>
      <c r="P53">
        <v>1.7784838562556935</v>
      </c>
      <c r="Q53">
        <v>1.7784838562556935</v>
      </c>
      <c r="R53">
        <v>1.7784838562556935</v>
      </c>
      <c r="S53">
        <v>1.7784838562556935</v>
      </c>
      <c r="T53">
        <v>1.7784838562556935</v>
      </c>
      <c r="U53">
        <v>1.7784838562556935</v>
      </c>
      <c r="V53">
        <v>1.7784838562556935</v>
      </c>
      <c r="W53">
        <v>1.7784838562556935</v>
      </c>
      <c r="X53">
        <v>1.7784838562556935</v>
      </c>
      <c r="Y53">
        <v>1.7784838562556935</v>
      </c>
      <c r="Z53">
        <v>1.7784838562556935</v>
      </c>
      <c r="AA53">
        <v>1.7784838562556935</v>
      </c>
      <c r="AB53">
        <v>1.7784838562556935</v>
      </c>
      <c r="AC53">
        <v>1.7784838562556935</v>
      </c>
      <c r="AD53">
        <v>1.7784838562556935</v>
      </c>
      <c r="AE53">
        <v>1.7784838562556935</v>
      </c>
      <c r="AF53">
        <v>1.7784838562556935</v>
      </c>
      <c r="AG53">
        <v>1.7784838562556935</v>
      </c>
      <c r="AH53">
        <v>1.7784838562556935</v>
      </c>
      <c r="AI53">
        <v>1.7784838562556935</v>
      </c>
      <c r="AJ53">
        <v>1.7784838562556935</v>
      </c>
      <c r="AK53">
        <v>1.7784838562556935</v>
      </c>
      <c r="AL53">
        <v>1.7784838562556935</v>
      </c>
      <c r="AM53">
        <v>1.7784838562556935</v>
      </c>
      <c r="AN53">
        <v>1.7784838562556935</v>
      </c>
      <c r="AO53">
        <v>1.7784838562556935</v>
      </c>
      <c r="AP53">
        <v>1.7784838562556935</v>
      </c>
      <c r="AQ53">
        <v>1.7784838562556935</v>
      </c>
      <c r="AR53">
        <v>1.7784838562556935</v>
      </c>
      <c r="AS53">
        <v>1.7784838562556935</v>
      </c>
      <c r="AT53">
        <v>1.7784838562556935</v>
      </c>
      <c r="AU53">
        <v>1.7784838562556935</v>
      </c>
      <c r="AV53">
        <v>1.7784838562556935</v>
      </c>
      <c r="AW53">
        <v>1.7784838562556935</v>
      </c>
      <c r="AX53">
        <v>1.7784838562556935</v>
      </c>
      <c r="AY53">
        <v>1.7784838562556935</v>
      </c>
      <c r="AZ53">
        <v>1.7784838562556935</v>
      </c>
      <c r="BA53">
        <v>1.7784838562556935</v>
      </c>
      <c r="BB53">
        <v>1.7784838562556935</v>
      </c>
      <c r="BC53">
        <v>1.7784838562556935</v>
      </c>
      <c r="BD53">
        <v>1.7784838562556935</v>
      </c>
      <c r="BE53">
        <v>101.77848385625569</v>
      </c>
    </row>
    <row r="54" spans="1:66">
      <c r="A54">
        <v>26</v>
      </c>
      <c r="B54" s="1">
        <f>2*(1-D54)/SUM(D$3:D54)</f>
        <v>3.5443941833353865E-2</v>
      </c>
      <c r="C54" s="5" cm="1">
        <f t="array" ref="C54">linear(A52,A55,C52,C55,A54)</f>
        <v>3.4621408181811981E-2</v>
      </c>
      <c r="D54">
        <f t="shared" si="0"/>
        <v>0.40964915598949414</v>
      </c>
      <c r="G54">
        <v>1.7721970916676932</v>
      </c>
      <c r="H54">
        <v>1.7721970916676932</v>
      </c>
      <c r="I54">
        <v>1.7721970916676932</v>
      </c>
      <c r="J54">
        <v>1.7721970916676932</v>
      </c>
      <c r="K54">
        <v>1.7721970916676932</v>
      </c>
      <c r="L54">
        <v>1.7721970916676932</v>
      </c>
      <c r="M54">
        <v>1.7721970916676932</v>
      </c>
      <c r="N54">
        <v>1.7721970916676932</v>
      </c>
      <c r="O54">
        <v>1.7721970916676932</v>
      </c>
      <c r="P54">
        <v>1.7721970916676932</v>
      </c>
      <c r="Q54">
        <v>1.7721970916676932</v>
      </c>
      <c r="R54">
        <v>1.7721970916676932</v>
      </c>
      <c r="S54">
        <v>1.7721970916676932</v>
      </c>
      <c r="T54">
        <v>1.7721970916676932</v>
      </c>
      <c r="U54">
        <v>1.7721970916676932</v>
      </c>
      <c r="V54">
        <v>1.7721970916676932</v>
      </c>
      <c r="W54">
        <v>1.7721970916676932</v>
      </c>
      <c r="X54">
        <v>1.7721970916676932</v>
      </c>
      <c r="Y54">
        <v>1.7721970916676932</v>
      </c>
      <c r="Z54">
        <v>1.7721970916676932</v>
      </c>
      <c r="AA54">
        <v>1.7721970916676932</v>
      </c>
      <c r="AB54">
        <v>1.7721970916676932</v>
      </c>
      <c r="AC54">
        <v>1.7721970916676932</v>
      </c>
      <c r="AD54">
        <v>1.7721970916676932</v>
      </c>
      <c r="AE54">
        <v>1.7721970916676932</v>
      </c>
      <c r="AF54">
        <v>1.7721970916676932</v>
      </c>
      <c r="AG54">
        <v>1.7721970916676932</v>
      </c>
      <c r="AH54">
        <v>1.7721970916676932</v>
      </c>
      <c r="AI54">
        <v>1.7721970916676932</v>
      </c>
      <c r="AJ54">
        <v>1.7721970916676932</v>
      </c>
      <c r="AK54">
        <v>1.7721970916676932</v>
      </c>
      <c r="AL54">
        <v>1.7721970916676932</v>
      </c>
      <c r="AM54">
        <v>1.7721970916676932</v>
      </c>
      <c r="AN54">
        <v>1.7721970916676932</v>
      </c>
      <c r="AO54">
        <v>1.7721970916676932</v>
      </c>
      <c r="AP54">
        <v>1.7721970916676932</v>
      </c>
      <c r="AQ54">
        <v>1.7721970916676932</v>
      </c>
      <c r="AR54">
        <v>1.7721970916676932</v>
      </c>
      <c r="AS54">
        <v>1.7721970916676932</v>
      </c>
      <c r="AT54">
        <v>1.7721970916676932</v>
      </c>
      <c r="AU54">
        <v>1.7721970916676932</v>
      </c>
      <c r="AV54">
        <v>1.7721970916676932</v>
      </c>
      <c r="AW54">
        <v>1.7721970916676932</v>
      </c>
      <c r="AX54">
        <v>1.7721970916676932</v>
      </c>
      <c r="AY54">
        <v>1.7721970916676932</v>
      </c>
      <c r="AZ54">
        <v>1.7721970916676932</v>
      </c>
      <c r="BA54">
        <v>1.7721970916676932</v>
      </c>
      <c r="BB54">
        <v>1.7721970916676932</v>
      </c>
      <c r="BC54">
        <v>1.7721970916676932</v>
      </c>
      <c r="BD54">
        <v>1.7721970916676932</v>
      </c>
      <c r="BE54">
        <v>1.7721970916676932</v>
      </c>
      <c r="BF54">
        <v>101.77219709166769</v>
      </c>
    </row>
    <row r="55" spans="1:66">
      <c r="A55">
        <v>26.5</v>
      </c>
      <c r="B55" s="1">
        <f>2*(1-D55)/SUM(D$3:D55)</f>
        <v>3.5318391442065195E-2</v>
      </c>
      <c r="C55" s="5" cm="1">
        <f t="array" ref="C55">linear(A52,A57,C52,C57,A55)</f>
        <v>3.4439096672230954E-2</v>
      </c>
      <c r="D55">
        <f t="shared" si="0"/>
        <v>0.40459548030740128</v>
      </c>
      <c r="G55">
        <v>1.7659195721032597</v>
      </c>
      <c r="H55">
        <v>1.7659195721032597</v>
      </c>
      <c r="I55">
        <v>1.7659195721032597</v>
      </c>
      <c r="J55">
        <v>1.7659195721032597</v>
      </c>
      <c r="K55">
        <v>1.7659195721032597</v>
      </c>
      <c r="L55">
        <v>1.7659195721032597</v>
      </c>
      <c r="M55">
        <v>1.7659195721032597</v>
      </c>
      <c r="N55">
        <v>1.7659195721032597</v>
      </c>
      <c r="O55">
        <v>1.7659195721032597</v>
      </c>
      <c r="P55">
        <v>1.7659195721032597</v>
      </c>
      <c r="Q55">
        <v>1.7659195721032597</v>
      </c>
      <c r="R55">
        <v>1.7659195721032597</v>
      </c>
      <c r="S55">
        <v>1.7659195721032597</v>
      </c>
      <c r="T55">
        <v>1.7659195721032597</v>
      </c>
      <c r="U55">
        <v>1.7659195721032597</v>
      </c>
      <c r="V55">
        <v>1.7659195721032597</v>
      </c>
      <c r="W55">
        <v>1.7659195721032597</v>
      </c>
      <c r="X55">
        <v>1.7659195721032597</v>
      </c>
      <c r="Y55">
        <v>1.7659195721032597</v>
      </c>
      <c r="Z55">
        <v>1.7659195721032597</v>
      </c>
      <c r="AA55">
        <v>1.7659195721032597</v>
      </c>
      <c r="AB55">
        <v>1.7659195721032597</v>
      </c>
      <c r="AC55">
        <v>1.7659195721032597</v>
      </c>
      <c r="AD55">
        <v>1.7659195721032597</v>
      </c>
      <c r="AE55">
        <v>1.7659195721032597</v>
      </c>
      <c r="AF55">
        <v>1.7659195721032597</v>
      </c>
      <c r="AG55">
        <v>1.7659195721032597</v>
      </c>
      <c r="AH55">
        <v>1.7659195721032597</v>
      </c>
      <c r="AI55">
        <v>1.7659195721032597</v>
      </c>
      <c r="AJ55">
        <v>1.7659195721032597</v>
      </c>
      <c r="AK55">
        <v>1.7659195721032597</v>
      </c>
      <c r="AL55">
        <v>1.7659195721032597</v>
      </c>
      <c r="AM55">
        <v>1.7659195721032597</v>
      </c>
      <c r="AN55">
        <v>1.7659195721032597</v>
      </c>
      <c r="AO55">
        <v>1.7659195721032597</v>
      </c>
      <c r="AP55">
        <v>1.7659195721032597</v>
      </c>
      <c r="AQ55">
        <v>1.7659195721032597</v>
      </c>
      <c r="AR55">
        <v>1.7659195721032597</v>
      </c>
      <c r="AS55">
        <v>1.7659195721032597</v>
      </c>
      <c r="AT55">
        <v>1.7659195721032597</v>
      </c>
      <c r="AU55">
        <v>1.7659195721032597</v>
      </c>
      <c r="AV55">
        <v>1.7659195721032597</v>
      </c>
      <c r="AW55">
        <v>1.7659195721032597</v>
      </c>
      <c r="AX55">
        <v>1.7659195721032597</v>
      </c>
      <c r="AY55">
        <v>1.7659195721032597</v>
      </c>
      <c r="AZ55">
        <v>1.7659195721032597</v>
      </c>
      <c r="BA55">
        <v>1.7659195721032597</v>
      </c>
      <c r="BB55">
        <v>1.7659195721032597</v>
      </c>
      <c r="BC55">
        <v>1.7659195721032597</v>
      </c>
      <c r="BD55">
        <v>1.7659195721032597</v>
      </c>
      <c r="BE55">
        <v>1.7659195721032597</v>
      </c>
      <c r="BF55">
        <v>1.7659195721032597</v>
      </c>
      <c r="BG55">
        <v>101.76591957210326</v>
      </c>
    </row>
    <row r="56" spans="1:66">
      <c r="A56">
        <v>27</v>
      </c>
      <c r="B56" s="1">
        <f>2*(1-D56)/SUM(D$3:D56)</f>
        <v>3.519302996249505E-2</v>
      </c>
      <c r="C56" s="5" cm="1">
        <f t="array" ref="C56">linear(A55,A57,C55,C57,A56)</f>
        <v>3.4256785162649926E-2</v>
      </c>
      <c r="D56">
        <f t="shared" si="0"/>
        <v>0.39967594548633728</v>
      </c>
      <c r="G56">
        <v>1.7596514981247524</v>
      </c>
      <c r="H56">
        <v>1.7596514981247524</v>
      </c>
      <c r="I56">
        <v>1.7596514981247524</v>
      </c>
      <c r="J56">
        <v>1.7596514981247524</v>
      </c>
      <c r="K56">
        <v>1.7596514981247524</v>
      </c>
      <c r="L56">
        <v>1.7596514981247524</v>
      </c>
      <c r="M56">
        <v>1.7596514981247524</v>
      </c>
      <c r="N56">
        <v>1.7596514981247524</v>
      </c>
      <c r="O56">
        <v>1.7596514981247524</v>
      </c>
      <c r="P56">
        <v>1.7596514981247524</v>
      </c>
      <c r="Q56">
        <v>1.7596514981247524</v>
      </c>
      <c r="R56">
        <v>1.7596514981247524</v>
      </c>
      <c r="S56">
        <v>1.7596514981247524</v>
      </c>
      <c r="T56">
        <v>1.7596514981247524</v>
      </c>
      <c r="U56">
        <v>1.7596514981247524</v>
      </c>
      <c r="V56">
        <v>1.7596514981247524</v>
      </c>
      <c r="W56">
        <v>1.7596514981247524</v>
      </c>
      <c r="X56">
        <v>1.7596514981247524</v>
      </c>
      <c r="Y56">
        <v>1.7596514981247524</v>
      </c>
      <c r="Z56">
        <v>1.7596514981247524</v>
      </c>
      <c r="AA56">
        <v>1.7596514981247524</v>
      </c>
      <c r="AB56">
        <v>1.7596514981247524</v>
      </c>
      <c r="AC56">
        <v>1.7596514981247524</v>
      </c>
      <c r="AD56">
        <v>1.7596514981247524</v>
      </c>
      <c r="AE56">
        <v>1.7596514981247524</v>
      </c>
      <c r="AF56">
        <v>1.7596514981247524</v>
      </c>
      <c r="AG56">
        <v>1.7596514981247524</v>
      </c>
      <c r="AH56">
        <v>1.7596514981247524</v>
      </c>
      <c r="AI56">
        <v>1.7596514981247524</v>
      </c>
      <c r="AJ56">
        <v>1.7596514981247524</v>
      </c>
      <c r="AK56">
        <v>1.7596514981247524</v>
      </c>
      <c r="AL56">
        <v>1.7596514981247524</v>
      </c>
      <c r="AM56">
        <v>1.7596514981247524</v>
      </c>
      <c r="AN56">
        <v>1.7596514981247524</v>
      </c>
      <c r="AO56">
        <v>1.7596514981247524</v>
      </c>
      <c r="AP56">
        <v>1.7596514981247524</v>
      </c>
      <c r="AQ56">
        <v>1.7596514981247524</v>
      </c>
      <c r="AR56">
        <v>1.7596514981247524</v>
      </c>
      <c r="AS56">
        <v>1.7596514981247524</v>
      </c>
      <c r="AT56">
        <v>1.7596514981247524</v>
      </c>
      <c r="AU56">
        <v>1.7596514981247524</v>
      </c>
      <c r="AV56">
        <v>1.7596514981247524</v>
      </c>
      <c r="AW56">
        <v>1.7596514981247524</v>
      </c>
      <c r="AX56">
        <v>1.7596514981247524</v>
      </c>
      <c r="AY56">
        <v>1.7596514981247524</v>
      </c>
      <c r="AZ56">
        <v>1.7596514981247524</v>
      </c>
      <c r="BA56">
        <v>1.7596514981247524</v>
      </c>
      <c r="BB56">
        <v>1.7596514981247524</v>
      </c>
      <c r="BC56">
        <v>1.7596514981247524</v>
      </c>
      <c r="BD56">
        <v>1.7596514981247524</v>
      </c>
      <c r="BE56">
        <v>1.7596514981247524</v>
      </c>
      <c r="BF56">
        <v>1.7596514981247524</v>
      </c>
      <c r="BG56">
        <v>1.7596514981247524</v>
      </c>
      <c r="BH56">
        <v>101.75965149812475</v>
      </c>
    </row>
    <row r="57" spans="1:66">
      <c r="A57">
        <v>27.5</v>
      </c>
      <c r="B57" s="1">
        <f>2*(1-D57)/SUM(D$3:D57)</f>
        <v>3.5067860141010487E-2</v>
      </c>
      <c r="C57" s="5" cm="1">
        <f t="array" ref="C57">linear(A52,A62,C52,C62,A57)</f>
        <v>3.4074473653068905E-2</v>
      </c>
      <c r="D57">
        <f t="shared" si="0"/>
        <v>0.39488717302310583</v>
      </c>
      <c r="G57">
        <v>1.7533930070505244</v>
      </c>
      <c r="H57">
        <v>1.7533930070505244</v>
      </c>
      <c r="I57">
        <v>1.7533930070505244</v>
      </c>
      <c r="J57">
        <v>1.7533930070505244</v>
      </c>
      <c r="K57">
        <v>1.7533930070505244</v>
      </c>
      <c r="L57">
        <v>1.7533930070505244</v>
      </c>
      <c r="M57">
        <v>1.7533930070505244</v>
      </c>
      <c r="N57">
        <v>1.7533930070505244</v>
      </c>
      <c r="O57">
        <v>1.7533930070505244</v>
      </c>
      <c r="P57">
        <v>1.7533930070505244</v>
      </c>
      <c r="Q57">
        <v>1.7533930070505244</v>
      </c>
      <c r="R57">
        <v>1.7533930070505244</v>
      </c>
      <c r="S57">
        <v>1.7533930070505244</v>
      </c>
      <c r="T57">
        <v>1.7533930070505244</v>
      </c>
      <c r="U57">
        <v>1.7533930070505244</v>
      </c>
      <c r="V57">
        <v>1.7533930070505244</v>
      </c>
      <c r="W57">
        <v>1.7533930070505244</v>
      </c>
      <c r="X57">
        <v>1.7533930070505244</v>
      </c>
      <c r="Y57">
        <v>1.7533930070505244</v>
      </c>
      <c r="Z57">
        <v>1.7533930070505244</v>
      </c>
      <c r="AA57">
        <v>1.7533930070505244</v>
      </c>
      <c r="AB57">
        <v>1.7533930070505244</v>
      </c>
      <c r="AC57">
        <v>1.7533930070505244</v>
      </c>
      <c r="AD57">
        <v>1.7533930070505244</v>
      </c>
      <c r="AE57">
        <v>1.7533930070505244</v>
      </c>
      <c r="AF57">
        <v>1.7533930070505244</v>
      </c>
      <c r="AG57">
        <v>1.7533930070505244</v>
      </c>
      <c r="AH57">
        <v>1.7533930070505244</v>
      </c>
      <c r="AI57">
        <v>1.7533930070505244</v>
      </c>
      <c r="AJ57">
        <v>1.7533930070505244</v>
      </c>
      <c r="AK57">
        <v>1.7533930070505244</v>
      </c>
      <c r="AL57">
        <v>1.7533930070505244</v>
      </c>
      <c r="AM57">
        <v>1.7533930070505244</v>
      </c>
      <c r="AN57">
        <v>1.7533930070505244</v>
      </c>
      <c r="AO57">
        <v>1.7533930070505244</v>
      </c>
      <c r="AP57">
        <v>1.7533930070505244</v>
      </c>
      <c r="AQ57">
        <v>1.7533930070505244</v>
      </c>
      <c r="AR57">
        <v>1.7533930070505244</v>
      </c>
      <c r="AS57">
        <v>1.7533930070505244</v>
      </c>
      <c r="AT57">
        <v>1.7533930070505244</v>
      </c>
      <c r="AU57">
        <v>1.7533930070505244</v>
      </c>
      <c r="AV57">
        <v>1.7533930070505244</v>
      </c>
      <c r="AW57">
        <v>1.7533930070505244</v>
      </c>
      <c r="AX57">
        <v>1.7533930070505244</v>
      </c>
      <c r="AY57">
        <v>1.7533930070505244</v>
      </c>
      <c r="AZ57">
        <v>1.7533930070505244</v>
      </c>
      <c r="BA57">
        <v>1.7533930070505244</v>
      </c>
      <c r="BB57">
        <v>1.7533930070505244</v>
      </c>
      <c r="BC57">
        <v>1.7533930070505244</v>
      </c>
      <c r="BD57">
        <v>1.7533930070505244</v>
      </c>
      <c r="BE57">
        <v>1.7533930070505244</v>
      </c>
      <c r="BF57">
        <v>1.7533930070505244</v>
      </c>
      <c r="BG57">
        <v>1.7533930070505244</v>
      </c>
      <c r="BH57">
        <v>1.7533930070505244</v>
      </c>
      <c r="BI57">
        <v>101.75339300705052</v>
      </c>
    </row>
    <row r="58" spans="1:66">
      <c r="A58">
        <v>28</v>
      </c>
      <c r="B58" s="1">
        <f>2*(1-D58)/SUM(D$3:D58)</f>
        <v>3.4942883573784549E-2</v>
      </c>
      <c r="C58" s="5" cm="1">
        <f t="array" ref="C58">linear(A57,A59,C57,C59,A58)</f>
        <v>3.3892162143487878E-2</v>
      </c>
      <c r="D58">
        <f t="shared" si="0"/>
        <v>0.3902258949137864</v>
      </c>
      <c r="G58">
        <v>1.7471441786892274</v>
      </c>
      <c r="H58">
        <v>1.7471441786892274</v>
      </c>
      <c r="I58">
        <v>1.7471441786892274</v>
      </c>
      <c r="J58">
        <v>1.7471441786892274</v>
      </c>
      <c r="K58">
        <v>1.7471441786892274</v>
      </c>
      <c r="L58">
        <v>1.7471441786892274</v>
      </c>
      <c r="M58">
        <v>1.7471441786892274</v>
      </c>
      <c r="N58">
        <v>1.7471441786892274</v>
      </c>
      <c r="O58">
        <v>1.7471441786892274</v>
      </c>
      <c r="P58">
        <v>1.7471441786892274</v>
      </c>
      <c r="Q58">
        <v>1.7471441786892274</v>
      </c>
      <c r="R58">
        <v>1.7471441786892274</v>
      </c>
      <c r="S58">
        <v>1.7471441786892274</v>
      </c>
      <c r="T58">
        <v>1.7471441786892274</v>
      </c>
      <c r="U58">
        <v>1.7471441786892274</v>
      </c>
      <c r="V58">
        <v>1.7471441786892274</v>
      </c>
      <c r="W58">
        <v>1.7471441786892274</v>
      </c>
      <c r="X58">
        <v>1.7471441786892274</v>
      </c>
      <c r="Y58">
        <v>1.7471441786892274</v>
      </c>
      <c r="Z58">
        <v>1.7471441786892274</v>
      </c>
      <c r="AA58">
        <v>1.7471441786892274</v>
      </c>
      <c r="AB58">
        <v>1.7471441786892274</v>
      </c>
      <c r="AC58">
        <v>1.7471441786892274</v>
      </c>
      <c r="AD58">
        <v>1.7471441786892274</v>
      </c>
      <c r="AE58">
        <v>1.7471441786892274</v>
      </c>
      <c r="AF58">
        <v>1.7471441786892274</v>
      </c>
      <c r="AG58">
        <v>1.7471441786892274</v>
      </c>
      <c r="AH58">
        <v>1.7471441786892274</v>
      </c>
      <c r="AI58">
        <v>1.7471441786892274</v>
      </c>
      <c r="AJ58">
        <v>1.7471441786892274</v>
      </c>
      <c r="AK58">
        <v>1.7471441786892274</v>
      </c>
      <c r="AL58">
        <v>1.7471441786892274</v>
      </c>
      <c r="AM58">
        <v>1.7471441786892274</v>
      </c>
      <c r="AN58">
        <v>1.7471441786892274</v>
      </c>
      <c r="AO58">
        <v>1.7471441786892274</v>
      </c>
      <c r="AP58">
        <v>1.7471441786892274</v>
      </c>
      <c r="AQ58">
        <v>1.7471441786892274</v>
      </c>
      <c r="AR58">
        <v>1.7471441786892274</v>
      </c>
      <c r="AS58">
        <v>1.7471441786892274</v>
      </c>
      <c r="AT58">
        <v>1.7471441786892274</v>
      </c>
      <c r="AU58">
        <v>1.7471441786892274</v>
      </c>
      <c r="AV58">
        <v>1.7471441786892274</v>
      </c>
      <c r="AW58">
        <v>1.7471441786892274</v>
      </c>
      <c r="AX58">
        <v>1.7471441786892274</v>
      </c>
      <c r="AY58">
        <v>1.7471441786892274</v>
      </c>
      <c r="AZ58">
        <v>1.7471441786892274</v>
      </c>
      <c r="BA58">
        <v>1.7471441786892274</v>
      </c>
      <c r="BB58">
        <v>1.7471441786892274</v>
      </c>
      <c r="BC58">
        <v>1.7471441786892274</v>
      </c>
      <c r="BD58">
        <v>1.7471441786892274</v>
      </c>
      <c r="BE58">
        <v>1.7471441786892274</v>
      </c>
      <c r="BF58">
        <v>1.7471441786892274</v>
      </c>
      <c r="BG58">
        <v>1.7471441786892274</v>
      </c>
      <c r="BH58">
        <v>1.7471441786892274</v>
      </c>
      <c r="BI58">
        <v>1.7471441786892274</v>
      </c>
      <c r="BJ58">
        <v>101.74714417868923</v>
      </c>
    </row>
    <row r="59" spans="1:66">
      <c r="A59">
        <v>28.5</v>
      </c>
      <c r="B59" s="1">
        <f>2*(1-D59)/SUM(D$3:D59)</f>
        <v>3.4818100809299944E-2</v>
      </c>
      <c r="C59" s="5" cm="1">
        <f t="array" ref="C59">linear(A57,A62,C57,C62,A59)</f>
        <v>3.3709850633906857E-2</v>
      </c>
      <c r="D59">
        <f t="shared" si="0"/>
        <v>0.38568895001316478</v>
      </c>
      <c r="G59">
        <v>1.7409050404649973</v>
      </c>
      <c r="H59">
        <v>1.7409050404649973</v>
      </c>
      <c r="I59">
        <v>1.7409050404649973</v>
      </c>
      <c r="J59">
        <v>1.7409050404649973</v>
      </c>
      <c r="K59">
        <v>1.7409050404649973</v>
      </c>
      <c r="L59">
        <v>1.7409050404649973</v>
      </c>
      <c r="M59">
        <v>1.7409050404649973</v>
      </c>
      <c r="N59">
        <v>1.7409050404649973</v>
      </c>
      <c r="O59">
        <v>1.7409050404649973</v>
      </c>
      <c r="P59">
        <v>1.7409050404649973</v>
      </c>
      <c r="Q59">
        <v>1.7409050404649973</v>
      </c>
      <c r="R59">
        <v>1.7409050404649973</v>
      </c>
      <c r="S59">
        <v>1.7409050404649973</v>
      </c>
      <c r="T59">
        <v>1.7409050404649973</v>
      </c>
      <c r="U59">
        <v>1.7409050404649973</v>
      </c>
      <c r="V59">
        <v>1.7409050404649973</v>
      </c>
      <c r="W59">
        <v>1.7409050404649973</v>
      </c>
      <c r="X59">
        <v>1.7409050404649973</v>
      </c>
      <c r="Y59">
        <v>1.7409050404649973</v>
      </c>
      <c r="Z59">
        <v>1.7409050404649973</v>
      </c>
      <c r="AA59">
        <v>1.7409050404649973</v>
      </c>
      <c r="AB59">
        <v>1.7409050404649973</v>
      </c>
      <c r="AC59">
        <v>1.7409050404649973</v>
      </c>
      <c r="AD59">
        <v>1.7409050404649973</v>
      </c>
      <c r="AE59">
        <v>1.7409050404649973</v>
      </c>
      <c r="AF59">
        <v>1.7409050404649973</v>
      </c>
      <c r="AG59">
        <v>1.7409050404649973</v>
      </c>
      <c r="AH59">
        <v>1.7409050404649973</v>
      </c>
      <c r="AI59">
        <v>1.7409050404649973</v>
      </c>
      <c r="AJ59">
        <v>1.7409050404649973</v>
      </c>
      <c r="AK59">
        <v>1.7409050404649973</v>
      </c>
      <c r="AL59">
        <v>1.7409050404649973</v>
      </c>
      <c r="AM59">
        <v>1.7409050404649973</v>
      </c>
      <c r="AN59">
        <v>1.7409050404649973</v>
      </c>
      <c r="AO59">
        <v>1.7409050404649973</v>
      </c>
      <c r="AP59">
        <v>1.7409050404649973</v>
      </c>
      <c r="AQ59">
        <v>1.7409050404649973</v>
      </c>
      <c r="AR59">
        <v>1.7409050404649973</v>
      </c>
      <c r="AS59">
        <v>1.7409050404649973</v>
      </c>
      <c r="AT59">
        <v>1.7409050404649973</v>
      </c>
      <c r="AU59">
        <v>1.7409050404649973</v>
      </c>
      <c r="AV59">
        <v>1.7409050404649973</v>
      </c>
      <c r="AW59">
        <v>1.7409050404649973</v>
      </c>
      <c r="AX59">
        <v>1.7409050404649973</v>
      </c>
      <c r="AY59">
        <v>1.7409050404649973</v>
      </c>
      <c r="AZ59">
        <v>1.7409050404649973</v>
      </c>
      <c r="BA59">
        <v>1.7409050404649973</v>
      </c>
      <c r="BB59">
        <v>1.7409050404649973</v>
      </c>
      <c r="BC59">
        <v>1.7409050404649973</v>
      </c>
      <c r="BD59">
        <v>1.7409050404649973</v>
      </c>
      <c r="BE59">
        <v>1.7409050404649973</v>
      </c>
      <c r="BF59">
        <v>1.7409050404649973</v>
      </c>
      <c r="BG59">
        <v>1.7409050404649973</v>
      </c>
      <c r="BH59">
        <v>1.7409050404649973</v>
      </c>
      <c r="BI59">
        <v>1.7409050404649973</v>
      </c>
      <c r="BJ59">
        <v>1.7409050404649973</v>
      </c>
      <c r="BK59">
        <v>101.74090504046499</v>
      </c>
    </row>
    <row r="60" spans="1:66">
      <c r="A60">
        <v>29</v>
      </c>
      <c r="B60" s="1">
        <f>2*(1-D60)/SUM(D$3:D60)</f>
        <v>3.4693511440129644E-2</v>
      </c>
      <c r="C60" s="5" cm="1">
        <f t="array" ref="C60">linear(A59,A62,C59,C62,A60)</f>
        <v>3.3527539124325836E-2</v>
      </c>
      <c r="D60">
        <f t="shared" si="0"/>
        <v>0.38127328053206933</v>
      </c>
      <c r="G60">
        <v>1.7346755720064821</v>
      </c>
      <c r="H60">
        <v>1.7346755720064821</v>
      </c>
      <c r="I60">
        <v>1.7346755720064821</v>
      </c>
      <c r="J60">
        <v>1.7346755720064821</v>
      </c>
      <c r="K60">
        <v>1.7346755720064821</v>
      </c>
      <c r="L60">
        <v>1.7346755720064821</v>
      </c>
      <c r="M60">
        <v>1.7346755720064821</v>
      </c>
      <c r="N60">
        <v>1.7346755720064821</v>
      </c>
      <c r="O60">
        <v>1.7346755720064821</v>
      </c>
      <c r="P60">
        <v>1.7346755720064821</v>
      </c>
      <c r="Q60">
        <v>1.7346755720064821</v>
      </c>
      <c r="R60">
        <v>1.7346755720064821</v>
      </c>
      <c r="S60">
        <v>1.7346755720064821</v>
      </c>
      <c r="T60">
        <v>1.7346755720064821</v>
      </c>
      <c r="U60">
        <v>1.7346755720064821</v>
      </c>
      <c r="V60">
        <v>1.7346755720064821</v>
      </c>
      <c r="W60">
        <v>1.7346755720064821</v>
      </c>
      <c r="X60">
        <v>1.7346755720064821</v>
      </c>
      <c r="Y60">
        <v>1.7346755720064821</v>
      </c>
      <c r="Z60">
        <v>1.7346755720064821</v>
      </c>
      <c r="AA60">
        <v>1.7346755720064821</v>
      </c>
      <c r="AB60">
        <v>1.7346755720064821</v>
      </c>
      <c r="AC60">
        <v>1.7346755720064821</v>
      </c>
      <c r="AD60">
        <v>1.7346755720064821</v>
      </c>
      <c r="AE60">
        <v>1.7346755720064821</v>
      </c>
      <c r="AF60">
        <v>1.7346755720064821</v>
      </c>
      <c r="AG60">
        <v>1.7346755720064821</v>
      </c>
      <c r="AH60">
        <v>1.7346755720064821</v>
      </c>
      <c r="AI60">
        <v>1.7346755720064821</v>
      </c>
      <c r="AJ60">
        <v>1.7346755720064821</v>
      </c>
      <c r="AK60">
        <v>1.7346755720064821</v>
      </c>
      <c r="AL60">
        <v>1.7346755720064821</v>
      </c>
      <c r="AM60">
        <v>1.7346755720064821</v>
      </c>
      <c r="AN60">
        <v>1.7346755720064821</v>
      </c>
      <c r="AO60">
        <v>1.7346755720064821</v>
      </c>
      <c r="AP60">
        <v>1.7346755720064821</v>
      </c>
      <c r="AQ60">
        <v>1.7346755720064821</v>
      </c>
      <c r="AR60">
        <v>1.7346755720064821</v>
      </c>
      <c r="AS60">
        <v>1.7346755720064821</v>
      </c>
      <c r="AT60">
        <v>1.7346755720064821</v>
      </c>
      <c r="AU60">
        <v>1.7346755720064821</v>
      </c>
      <c r="AV60">
        <v>1.7346755720064821</v>
      </c>
      <c r="AW60">
        <v>1.7346755720064821</v>
      </c>
      <c r="AX60">
        <v>1.7346755720064821</v>
      </c>
      <c r="AY60">
        <v>1.7346755720064821</v>
      </c>
      <c r="AZ60">
        <v>1.7346755720064821</v>
      </c>
      <c r="BA60">
        <v>1.7346755720064821</v>
      </c>
      <c r="BB60">
        <v>1.7346755720064821</v>
      </c>
      <c r="BC60">
        <v>1.7346755720064821</v>
      </c>
      <c r="BD60">
        <v>1.7346755720064821</v>
      </c>
      <c r="BE60">
        <v>1.7346755720064821</v>
      </c>
      <c r="BF60">
        <v>1.7346755720064821</v>
      </c>
      <c r="BG60">
        <v>1.7346755720064821</v>
      </c>
      <c r="BH60">
        <v>1.7346755720064821</v>
      </c>
      <c r="BI60">
        <v>1.7346755720064821</v>
      </c>
      <c r="BJ60">
        <v>1.7346755720064821</v>
      </c>
      <c r="BK60">
        <v>1.7346755720064821</v>
      </c>
      <c r="BL60">
        <v>101.73467557200648</v>
      </c>
    </row>
    <row r="61" spans="1:66">
      <c r="A61">
        <v>29.5</v>
      </c>
      <c r="B61" s="1">
        <f>2*(1-D61)/SUM(D$3:D61)</f>
        <v>3.4569114185240328E-2</v>
      </c>
      <c r="C61" s="5" cm="1">
        <f t="array" ref="C61">linear(A60,A62,C60,C62,A61)</f>
        <v>3.3345227614744816E-2</v>
      </c>
      <c r="D61">
        <f t="shared" si="0"/>
        <v>0.37697592866742108</v>
      </c>
      <c r="G61">
        <v>1.7284557092620163</v>
      </c>
      <c r="H61">
        <v>1.7284557092620163</v>
      </c>
      <c r="I61">
        <v>1.7284557092620163</v>
      </c>
      <c r="J61">
        <v>1.7284557092620163</v>
      </c>
      <c r="K61">
        <v>1.7284557092620163</v>
      </c>
      <c r="L61">
        <v>1.7284557092620163</v>
      </c>
      <c r="M61">
        <v>1.7284557092620163</v>
      </c>
      <c r="N61">
        <v>1.7284557092620163</v>
      </c>
      <c r="O61">
        <v>1.7284557092620163</v>
      </c>
      <c r="P61">
        <v>1.7284557092620163</v>
      </c>
      <c r="Q61">
        <v>1.7284557092620163</v>
      </c>
      <c r="R61">
        <v>1.7284557092620163</v>
      </c>
      <c r="S61">
        <v>1.7284557092620163</v>
      </c>
      <c r="T61">
        <v>1.7284557092620163</v>
      </c>
      <c r="U61">
        <v>1.7284557092620163</v>
      </c>
      <c r="V61">
        <v>1.7284557092620163</v>
      </c>
      <c r="W61">
        <v>1.7284557092620163</v>
      </c>
      <c r="X61">
        <v>1.7284557092620163</v>
      </c>
      <c r="Y61">
        <v>1.7284557092620163</v>
      </c>
      <c r="Z61">
        <v>1.7284557092620163</v>
      </c>
      <c r="AA61">
        <v>1.7284557092620163</v>
      </c>
      <c r="AB61">
        <v>1.7284557092620163</v>
      </c>
      <c r="AC61">
        <v>1.7284557092620163</v>
      </c>
      <c r="AD61">
        <v>1.7284557092620163</v>
      </c>
      <c r="AE61">
        <v>1.7284557092620163</v>
      </c>
      <c r="AF61">
        <v>1.7284557092620163</v>
      </c>
      <c r="AG61">
        <v>1.7284557092620163</v>
      </c>
      <c r="AH61">
        <v>1.7284557092620163</v>
      </c>
      <c r="AI61">
        <v>1.7284557092620163</v>
      </c>
      <c r="AJ61">
        <v>1.7284557092620163</v>
      </c>
      <c r="AK61">
        <v>1.7284557092620163</v>
      </c>
      <c r="AL61">
        <v>1.7284557092620163</v>
      </c>
      <c r="AM61">
        <v>1.7284557092620163</v>
      </c>
      <c r="AN61">
        <v>1.7284557092620163</v>
      </c>
      <c r="AO61">
        <v>1.7284557092620163</v>
      </c>
      <c r="AP61">
        <v>1.7284557092620163</v>
      </c>
      <c r="AQ61">
        <v>1.7284557092620163</v>
      </c>
      <c r="AR61">
        <v>1.7284557092620163</v>
      </c>
      <c r="AS61">
        <v>1.7284557092620163</v>
      </c>
      <c r="AT61">
        <v>1.7284557092620163</v>
      </c>
      <c r="AU61">
        <v>1.7284557092620163</v>
      </c>
      <c r="AV61">
        <v>1.7284557092620163</v>
      </c>
      <c r="AW61">
        <v>1.7284557092620163</v>
      </c>
      <c r="AX61">
        <v>1.7284557092620163</v>
      </c>
      <c r="AY61">
        <v>1.7284557092620163</v>
      </c>
      <c r="AZ61">
        <v>1.7284557092620163</v>
      </c>
      <c r="BA61">
        <v>1.7284557092620163</v>
      </c>
      <c r="BB61">
        <v>1.7284557092620163</v>
      </c>
      <c r="BC61">
        <v>1.7284557092620163</v>
      </c>
      <c r="BD61">
        <v>1.7284557092620163</v>
      </c>
      <c r="BE61">
        <v>1.7284557092620163</v>
      </c>
      <c r="BF61">
        <v>1.7284557092620163</v>
      </c>
      <c r="BG61">
        <v>1.7284557092620163</v>
      </c>
      <c r="BH61">
        <v>1.7284557092620163</v>
      </c>
      <c r="BI61">
        <v>1.7284557092620163</v>
      </c>
      <c r="BJ61">
        <v>1.7284557092620163</v>
      </c>
      <c r="BK61">
        <v>1.7284557092620163</v>
      </c>
      <c r="BL61">
        <v>1.7284557092620163</v>
      </c>
      <c r="BM61">
        <v>101.72845570926202</v>
      </c>
    </row>
    <row r="62" spans="1:66">
      <c r="A62">
        <v>30</v>
      </c>
      <c r="B62" s="6">
        <v>3.4750000000000003E-2</v>
      </c>
      <c r="C62" s="4">
        <v>3.3162916105163788E-2</v>
      </c>
      <c r="D62">
        <f t="shared" si="0"/>
        <v>0.37279403335976602</v>
      </c>
      <c r="E62" cm="1">
        <f t="array" ref="E62">pdiff(B62,A3:A62,C3:C62)</f>
        <v>-0.55554271873489824</v>
      </c>
      <c r="G62">
        <v>1.7375000000000003</v>
      </c>
      <c r="H62">
        <v>1.7375000000000003</v>
      </c>
      <c r="I62">
        <v>1.7375000000000003</v>
      </c>
      <c r="J62">
        <v>1.7375000000000003</v>
      </c>
      <c r="K62">
        <v>1.7375000000000003</v>
      </c>
      <c r="L62">
        <v>1.7375000000000003</v>
      </c>
      <c r="M62">
        <v>1.7375000000000003</v>
      </c>
      <c r="N62">
        <v>1.7375000000000003</v>
      </c>
      <c r="O62">
        <v>1.7375000000000003</v>
      </c>
      <c r="P62">
        <v>1.7375000000000003</v>
      </c>
      <c r="Q62">
        <v>1.7375000000000003</v>
      </c>
      <c r="R62">
        <v>1.7375000000000003</v>
      </c>
      <c r="S62">
        <v>1.7375000000000003</v>
      </c>
      <c r="T62">
        <v>1.7375000000000003</v>
      </c>
      <c r="U62">
        <v>1.7375000000000003</v>
      </c>
      <c r="V62">
        <v>1.7375000000000003</v>
      </c>
      <c r="W62">
        <v>1.7375000000000003</v>
      </c>
      <c r="X62">
        <v>1.7375000000000003</v>
      </c>
      <c r="Y62">
        <v>1.7375000000000003</v>
      </c>
      <c r="Z62">
        <v>1.7375000000000003</v>
      </c>
      <c r="AA62">
        <v>1.7375000000000003</v>
      </c>
      <c r="AB62">
        <v>1.7375000000000003</v>
      </c>
      <c r="AC62">
        <v>1.7375000000000003</v>
      </c>
      <c r="AD62">
        <v>1.7375000000000003</v>
      </c>
      <c r="AE62">
        <v>1.7375000000000003</v>
      </c>
      <c r="AF62">
        <v>1.7375000000000003</v>
      </c>
      <c r="AG62">
        <v>1.7375000000000003</v>
      </c>
      <c r="AH62">
        <v>1.7375000000000003</v>
      </c>
      <c r="AI62">
        <v>1.7375000000000003</v>
      </c>
      <c r="AJ62">
        <v>1.7375000000000003</v>
      </c>
      <c r="AK62">
        <v>1.7375000000000003</v>
      </c>
      <c r="AL62">
        <v>1.7375000000000003</v>
      </c>
      <c r="AM62">
        <v>1.7375000000000003</v>
      </c>
      <c r="AN62">
        <v>1.7375000000000003</v>
      </c>
      <c r="AO62">
        <v>1.7375000000000003</v>
      </c>
      <c r="AP62">
        <v>1.7375000000000003</v>
      </c>
      <c r="AQ62">
        <v>1.7375000000000003</v>
      </c>
      <c r="AR62">
        <v>1.7375000000000003</v>
      </c>
      <c r="AS62">
        <v>1.7375000000000003</v>
      </c>
      <c r="AT62">
        <v>1.7375000000000003</v>
      </c>
      <c r="AU62">
        <v>1.7375000000000003</v>
      </c>
      <c r="AV62">
        <v>1.7375000000000003</v>
      </c>
      <c r="AW62">
        <v>1.7375000000000003</v>
      </c>
      <c r="AX62">
        <v>1.7375000000000003</v>
      </c>
      <c r="AY62">
        <v>1.7375000000000003</v>
      </c>
      <c r="AZ62">
        <v>1.7375000000000003</v>
      </c>
      <c r="BA62">
        <v>1.7375000000000003</v>
      </c>
      <c r="BB62">
        <v>1.7375000000000003</v>
      </c>
      <c r="BC62">
        <v>1.7375000000000003</v>
      </c>
      <c r="BD62">
        <v>1.7375000000000003</v>
      </c>
      <c r="BE62">
        <v>1.7375000000000003</v>
      </c>
      <c r="BF62">
        <v>1.7375000000000003</v>
      </c>
      <c r="BG62">
        <v>1.7375000000000003</v>
      </c>
      <c r="BH62">
        <v>1.7375000000000003</v>
      </c>
      <c r="BI62">
        <v>1.7375000000000003</v>
      </c>
      <c r="BJ62">
        <v>1.7375000000000003</v>
      </c>
      <c r="BK62">
        <v>1.7375000000000003</v>
      </c>
      <c r="BL62">
        <v>1.7375000000000003</v>
      </c>
      <c r="BM62">
        <v>1.7375000000000003</v>
      </c>
      <c r="BN62">
        <v>101.7375</v>
      </c>
    </row>
  </sheetData>
  <phoneticPr fontId="2" type="noConversion"/>
  <pageMargins left="0.7" right="0.7" top="0.75" bottom="0.75" header="0.3" footer="0.3"/>
  <ignoredErrors>
    <ignoredError sqref="E10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Swap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2023-08-21T05:28:57Z</dcterms:created>
  <dcterms:modified xsi:type="dcterms:W3CDTF">2023-08-23T09:46:21Z</dcterms:modified>
</cp:coreProperties>
</file>