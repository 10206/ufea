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minimanimu/Desktop/금융공학/UFEA/36기/과제/"/>
    </mc:Choice>
  </mc:AlternateContent>
  <xr:revisionPtr revIDLastSave="0" documentId="13_ncr:1_{327B2898-600D-0343-8A14-608133091A6C}" xr6:coauthVersionLast="47" xr6:coauthVersionMax="47" xr10:uidLastSave="{00000000-0000-0000-0000-000000000000}"/>
  <bookViews>
    <workbookView xWindow="36320" yWindow="500" windowWidth="32320" windowHeight="19380" xr2:uid="{7ABD9CBA-3DB4-4A49-AEC1-1CF5D65F1E2A}"/>
  </bookViews>
  <sheets>
    <sheet name="Sheet1" sheetId="1" r:id="rId1"/>
  </sheets>
  <definedNames>
    <definedName name="beta">Sheet1!$B$6</definedName>
    <definedName name="p_d">Sheet1!$B$8</definedName>
    <definedName name="p_u">Sheet1!$B$7</definedName>
    <definedName name="solver_adj" localSheetId="0" hidden="1">Sheet1!$C$5:$L$5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Sheet1!$D$43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0" i="1" l="1"/>
  <c r="F40" i="1"/>
  <c r="G40" i="1"/>
  <c r="H40" i="1"/>
  <c r="I40" i="1"/>
  <c r="J40" i="1"/>
  <c r="K40" i="1"/>
  <c r="L40" i="1"/>
  <c r="M40" i="1"/>
  <c r="Q36" i="1"/>
  <c r="D42" i="1"/>
  <c r="Q37" i="1"/>
  <c r="E39" i="1"/>
  <c r="F42" i="1" s="1"/>
  <c r="F39" i="1"/>
  <c r="G42" i="1" s="1"/>
  <c r="G39" i="1"/>
  <c r="H39" i="1"/>
  <c r="I39" i="1"/>
  <c r="J39" i="1"/>
  <c r="K39" i="1"/>
  <c r="L39" i="1"/>
  <c r="M39" i="1"/>
  <c r="D39" i="1"/>
  <c r="D40" i="1" s="1"/>
  <c r="Q38" i="1"/>
  <c r="M42" i="1" l="1"/>
  <c r="I42" i="1"/>
  <c r="H42" i="1"/>
  <c r="L42" i="1"/>
  <c r="K42" i="1"/>
  <c r="J42" i="1"/>
  <c r="E42" i="1"/>
  <c r="B8" i="1" l="1"/>
  <c r="D43" i="1" l="1"/>
  <c r="C6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mhaugh</author>
  </authors>
  <commentList>
    <comment ref="B6" authorId="0" shapeId="0" xr:uid="{247FA0ED-491C-4369-ADE5-B0596D7887B6}">
      <text>
        <r>
          <rPr>
            <b/>
            <sz val="8"/>
            <color rgb="FF000000"/>
            <rFont val="Tahoma"/>
            <family val="2"/>
          </rPr>
          <t>Fixing the volatility parameter, b. This is not a good idea if we wish to use the model to price fixed derivatives that are sensitive to volatility, e.g. swaptions.</t>
        </r>
        <r>
          <rPr>
            <sz val="8"/>
            <color rgb="FF000000"/>
            <rFont val="Tahoma"/>
            <family val="2"/>
          </rPr>
          <t xml:space="preserve">
</t>
        </r>
      </text>
    </comment>
    <comment ref="D43" authorId="0" shapeId="0" xr:uid="{B7C812D3-5BFF-4027-A4DF-0F1C6CCE4F23}">
      <text>
        <r>
          <rPr>
            <b/>
            <sz val="8"/>
            <color rgb="FF000000"/>
            <rFont val="Tahoma"/>
            <family val="2"/>
          </rPr>
          <t>Now use Solver to match the term structure of zero prices by setting the objective function to 0 and by varying cells C5 to P5.</t>
        </r>
        <r>
          <rPr>
            <sz val="8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<sst xmlns="http://schemas.openxmlformats.org/spreadsheetml/2006/main" count="26" uniqueCount="26">
  <si>
    <t>Fitting the Term-Structure of Zero Bond Prices in the Black-Derman-Toy Model</t>
  </si>
  <si>
    <t>Year</t>
  </si>
  <si>
    <t>Market Spot Rates</t>
  </si>
  <si>
    <t>a</t>
  </si>
  <si>
    <t>b</t>
  </si>
  <si>
    <t>q</t>
  </si>
  <si>
    <t>1-q</t>
  </si>
  <si>
    <t>Short Rate Lattice</t>
  </si>
  <si>
    <t>BDT Model ZCB Prices</t>
  </si>
  <si>
    <t>BDT Model Spot Rates</t>
    <phoneticPr fontId="3" type="noConversion"/>
  </si>
  <si>
    <t>Squared Differences</t>
  </si>
  <si>
    <t>Pricing a Payer Swaption</t>
  </si>
  <si>
    <t>Fixed Rate</t>
  </si>
  <si>
    <t>Option Expiration</t>
  </si>
  <si>
    <t>Swap Maturity</t>
  </si>
  <si>
    <t>Option strike</t>
  </si>
  <si>
    <t>Principal in $m</t>
  </si>
  <si>
    <t>First payment of underlying swap at t=4 (based on t=3 spot rate) and final payment at t=10</t>
    <phoneticPr fontId="3" type="noConversion"/>
  </si>
  <si>
    <t>Note that the values at a node are the discounted values of the nodes 1 period ahead. We therefore start from t=9 even though final payoff occurs at t=10</t>
  </si>
  <si>
    <t>Objective Function</t>
  </si>
  <si>
    <t>Value</t>
    <phoneticPr fontId="3" type="noConversion"/>
  </si>
  <si>
    <t>Elementary Prices</t>
    <phoneticPr fontId="3" type="noConversion"/>
  </si>
  <si>
    <t>Hint</t>
    <phoneticPr fontId="3" type="noConversion"/>
  </si>
  <si>
    <t>L12</t>
    <phoneticPr fontId="3" type="noConversion"/>
  </si>
  <si>
    <t>M27</t>
    <phoneticPr fontId="3" type="noConversion"/>
  </si>
  <si>
    <t>F52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</si>
</sst>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00"/>
    <numFmt numFmtId="178" formatCode="0.0000_ 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name val="Times New Roman"/>
      <family val="1"/>
    </font>
    <font>
      <sz val="8"/>
      <name val="맑은 고딕"/>
      <family val="2"/>
      <charset val="129"/>
      <scheme val="minor"/>
    </font>
    <font>
      <sz val="10"/>
      <name val="Times New Roman"/>
      <family val="1"/>
    </font>
    <font>
      <sz val="11"/>
      <color theme="0"/>
      <name val="맑은 고딕"/>
      <family val="2"/>
      <charset val="129"/>
      <scheme val="minor"/>
    </font>
    <font>
      <b/>
      <sz val="8"/>
      <color rgb="FF000000"/>
      <name val="Tahoma"/>
      <family val="2"/>
    </font>
    <font>
      <sz val="8"/>
      <color rgb="FF000000"/>
      <name val="Tahoma"/>
      <family val="2"/>
    </font>
    <font>
      <sz val="11"/>
      <color rgb="FF000000"/>
      <name val="맑은 고딕"/>
      <family val="2"/>
      <charset val="129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0" fillId="0" borderId="0" xfId="0" applyAlignment="1"/>
    <xf numFmtId="0" fontId="0" fillId="3" borderId="6" xfId="0" applyFill="1" applyBorder="1" applyAlignment="1">
      <alignment horizontal="center"/>
    </xf>
    <xf numFmtId="0" fontId="2" fillId="2" borderId="4" xfId="0" applyFont="1" applyFill="1" applyBorder="1" applyAlignment="1"/>
    <xf numFmtId="0" fontId="0" fillId="5" borderId="11" xfId="0" applyFill="1" applyBorder="1" applyAlignment="1">
      <alignment horizontal="center"/>
    </xf>
    <xf numFmtId="0" fontId="2" fillId="2" borderId="7" xfId="0" applyFont="1" applyFill="1" applyBorder="1" applyAlignment="1"/>
    <xf numFmtId="0" fontId="0" fillId="0" borderId="12" xfId="0" applyBorder="1" applyAlignment="1">
      <alignment horizontal="center"/>
    </xf>
    <xf numFmtId="0" fontId="2" fillId="2" borderId="9" xfId="0" applyFont="1" applyFill="1" applyBorder="1" applyAlignment="1"/>
    <xf numFmtId="0" fontId="0" fillId="0" borderId="13" xfId="0" applyBorder="1" applyAlignment="1">
      <alignment horizontal="center"/>
    </xf>
    <xf numFmtId="0" fontId="4" fillId="0" borderId="0" xfId="0" applyFont="1" applyAlignment="1"/>
    <xf numFmtId="177" fontId="0" fillId="0" borderId="0" xfId="0" applyNumberFormat="1">
      <alignment vertical="center"/>
    </xf>
    <xf numFmtId="177" fontId="2" fillId="0" borderId="14" xfId="0" applyNumberFormat="1" applyFont="1" applyBorder="1" applyAlignment="1"/>
    <xf numFmtId="2" fontId="2" fillId="0" borderId="9" xfId="0" applyNumberFormat="1" applyFont="1" applyBorder="1" applyAlignment="1"/>
    <xf numFmtId="0" fontId="2" fillId="0" borderId="0" xfId="0" applyFont="1" applyAlignment="1"/>
    <xf numFmtId="9" fontId="0" fillId="0" borderId="0" xfId="0" applyNumberFormat="1" applyAlignment="1"/>
    <xf numFmtId="10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76" fontId="0" fillId="0" borderId="0" xfId="1" applyNumberFormat="1" applyFont="1" applyAlignment="1">
      <alignment horizontal="center"/>
    </xf>
    <xf numFmtId="178" fontId="0" fillId="0" borderId="1" xfId="0" applyNumberFormat="1" applyBorder="1" applyAlignment="1"/>
    <xf numFmtId="178" fontId="0" fillId="0" borderId="15" xfId="0" applyNumberFormat="1" applyBorder="1" applyAlignment="1"/>
    <xf numFmtId="0" fontId="0" fillId="7" borderId="0" xfId="0" applyFill="1">
      <alignment vertical="center"/>
    </xf>
    <xf numFmtId="0" fontId="5" fillId="8" borderId="4" xfId="0" applyFont="1" applyFill="1" applyBorder="1">
      <alignment vertical="center"/>
    </xf>
    <xf numFmtId="0" fontId="0" fillId="0" borderId="6" xfId="0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6" xfId="0" applyBorder="1">
      <alignment vertical="center"/>
    </xf>
    <xf numFmtId="0" fontId="0" fillId="0" borderId="10" xfId="0" applyBorder="1">
      <alignment vertic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/>
    </xf>
    <xf numFmtId="0" fontId="2" fillId="2" borderId="8" xfId="0" applyFont="1" applyFill="1" applyBorder="1" applyAlignment="1">
      <alignment horizontal="left"/>
    </xf>
    <xf numFmtId="0" fontId="2" fillId="2" borderId="9" xfId="0" applyFont="1" applyFill="1" applyBorder="1" applyAlignment="1">
      <alignment horizontal="left"/>
    </xf>
    <xf numFmtId="0" fontId="2" fillId="2" borderId="10" xfId="0" applyFont="1" applyFill="1" applyBorder="1" applyAlignment="1">
      <alignment horizontal="left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0" fillId="4" borderId="1" xfId="1" applyNumberFormat="1" applyFont="1" applyFill="1" applyBorder="1" applyAlignment="1">
      <alignment horizontal="center"/>
    </xf>
    <xf numFmtId="0" fontId="0" fillId="4" borderId="2" xfId="1" applyNumberFormat="1" applyFont="1" applyFill="1" applyBorder="1" applyAlignment="1">
      <alignment horizontal="center"/>
    </xf>
    <xf numFmtId="0" fontId="0" fillId="3" borderId="0" xfId="1" applyNumberFormat="1" applyFont="1" applyFill="1" applyAlignment="1">
      <alignment horizont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19050</xdr:colOff>
      <xdr:row>0</xdr:row>
      <xdr:rowOff>0</xdr:rowOff>
    </xdr:from>
    <xdr:to>
      <xdr:col>24</xdr:col>
      <xdr:colOff>246367</xdr:colOff>
      <xdr:row>24</xdr:row>
      <xdr:rowOff>208884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25075" y="0"/>
          <a:ext cx="8790476" cy="5323809"/>
        </a:xfrm>
        <a:prstGeom prst="rect">
          <a:avLst/>
        </a:prstGeom>
      </xdr:spPr>
    </xdr:pic>
    <xdr:clientData/>
  </xdr:twoCellAnchor>
  <xdr:twoCellAnchor editAs="oneCell">
    <xdr:from>
      <xdr:col>13</xdr:col>
      <xdr:colOff>38100</xdr:colOff>
      <xdr:row>25</xdr:row>
      <xdr:rowOff>19050</xdr:rowOff>
    </xdr:from>
    <xdr:to>
      <xdr:col>17</xdr:col>
      <xdr:colOff>447583</xdr:colOff>
      <xdr:row>30</xdr:row>
      <xdr:rowOff>37520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10419" y="5476369"/>
          <a:ext cx="3096729" cy="10768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14</xdr:row>
          <xdr:rowOff>190500</xdr:rowOff>
        </xdr:from>
        <xdr:to>
          <xdr:col>3</xdr:col>
          <xdr:colOff>1663700</xdr:colOff>
          <xdr:row>17</xdr:row>
          <xdr:rowOff>63500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딸깍1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27</xdr:row>
          <xdr:rowOff>101600</xdr:rowOff>
        </xdr:from>
        <xdr:to>
          <xdr:col>3</xdr:col>
          <xdr:colOff>1714500</xdr:colOff>
          <xdr:row>29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딸깍2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406400</xdr:colOff>
          <xdr:row>46</xdr:row>
          <xdr:rowOff>50800</xdr:rowOff>
        </xdr:from>
        <xdr:to>
          <xdr:col>3</xdr:col>
          <xdr:colOff>1930400</xdr:colOff>
          <xdr:row>48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A4F22085-1D40-CA62-8546-09E5A7D479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딸깍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B6339-5240-47B6-AB20-9E4284143D37}">
  <sheetPr codeName="Sheet1"/>
  <dimension ref="A1:Q63"/>
  <sheetViews>
    <sheetView tabSelected="1" topLeftCell="A9" zoomScale="138" workbookViewId="0">
      <selection activeCell="D21" sqref="D21"/>
    </sheetView>
  </sheetViews>
  <sheetFormatPr baseColWidth="10" defaultColWidth="8.83203125" defaultRowHeight="17"/>
  <cols>
    <col min="3" max="3" width="9.33203125" bestFit="1" customWidth="1"/>
    <col min="4" max="4" width="26.33203125" bestFit="1" customWidth="1"/>
    <col min="5" max="6" width="12.83203125" bestFit="1" customWidth="1"/>
    <col min="7" max="11" width="9.33203125" bestFit="1" customWidth="1"/>
    <col min="12" max="12" width="11.5" bestFit="1" customWidth="1"/>
    <col min="13" max="13" width="13.33203125" bestFit="1" customWidth="1"/>
  </cols>
  <sheetData>
    <row r="1" spans="1:16" ht="18" thickBot="1">
      <c r="A1" s="30" t="s">
        <v>0</v>
      </c>
      <c r="B1" s="32"/>
      <c r="C1" s="32"/>
      <c r="D1" s="32"/>
      <c r="E1" s="32"/>
      <c r="F1" s="32"/>
      <c r="G1" s="32"/>
      <c r="H1" s="31"/>
      <c r="I1" s="1"/>
      <c r="J1" s="1"/>
      <c r="K1" s="1"/>
      <c r="L1" s="1"/>
      <c r="M1" s="1"/>
      <c r="N1" s="1"/>
      <c r="O1" s="1"/>
      <c r="P1" s="1"/>
    </row>
    <row r="2" spans="1:16" ht="18" thickBo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>
      <c r="A3" s="33" t="s">
        <v>1</v>
      </c>
      <c r="B3" s="34"/>
      <c r="C3" s="2">
        <v>0</v>
      </c>
      <c r="D3" s="2">
        <v>1</v>
      </c>
      <c r="E3" s="2">
        <v>2</v>
      </c>
      <c r="F3" s="2">
        <v>3</v>
      </c>
      <c r="G3" s="2">
        <v>4</v>
      </c>
      <c r="H3" s="2">
        <v>5</v>
      </c>
      <c r="I3" s="2">
        <v>6</v>
      </c>
      <c r="J3" s="2">
        <v>7</v>
      </c>
      <c r="K3" s="2">
        <v>8</v>
      </c>
      <c r="L3" s="2">
        <v>9</v>
      </c>
    </row>
    <row r="4" spans="1:16" ht="18" thickBot="1">
      <c r="A4" s="35" t="s">
        <v>2</v>
      </c>
      <c r="B4" s="36"/>
      <c r="C4" s="44">
        <v>3</v>
      </c>
      <c r="D4" s="44">
        <v>3.1</v>
      </c>
      <c r="E4" s="44">
        <v>3.2</v>
      </c>
      <c r="F4" s="44">
        <v>3.3</v>
      </c>
      <c r="G4" s="44">
        <v>3.4</v>
      </c>
      <c r="H4" s="44">
        <v>3.5</v>
      </c>
      <c r="I4" s="44">
        <v>3.55</v>
      </c>
      <c r="J4" s="44">
        <v>3.6</v>
      </c>
      <c r="K4" s="44">
        <v>3.65</v>
      </c>
      <c r="L4" s="44">
        <v>3.7</v>
      </c>
    </row>
    <row r="5" spans="1:16" ht="18" thickBot="1">
      <c r="A5" s="37" t="s">
        <v>3</v>
      </c>
      <c r="B5" s="38"/>
      <c r="C5" s="42">
        <v>3</v>
      </c>
      <c r="D5" s="43">
        <v>2.5</v>
      </c>
      <c r="E5" s="43">
        <v>2.6</v>
      </c>
      <c r="F5" s="43">
        <v>2.7</v>
      </c>
      <c r="G5" s="43">
        <v>2.8</v>
      </c>
      <c r="H5" s="43">
        <v>2.9</v>
      </c>
      <c r="I5" s="43">
        <v>3</v>
      </c>
      <c r="J5" s="43">
        <v>3.1</v>
      </c>
      <c r="K5" s="43">
        <v>3.2</v>
      </c>
      <c r="L5" s="43">
        <v>3.3</v>
      </c>
    </row>
    <row r="6" spans="1:16">
      <c r="A6" s="3" t="s">
        <v>4</v>
      </c>
      <c r="B6" s="4">
        <v>0.05</v>
      </c>
    </row>
    <row r="7" spans="1:16">
      <c r="A7" s="5" t="s">
        <v>5</v>
      </c>
      <c r="B7" s="6">
        <v>0.5</v>
      </c>
    </row>
    <row r="8" spans="1:16" ht="18" thickBot="1">
      <c r="A8" s="7" t="s">
        <v>6</v>
      </c>
      <c r="B8" s="8">
        <f>1-B7</f>
        <v>0.5</v>
      </c>
    </row>
    <row r="9" spans="1:16" ht="18" thickBot="1"/>
    <row r="10" spans="1:16" ht="18" thickBot="1">
      <c r="A10" s="30" t="s">
        <v>7</v>
      </c>
      <c r="B10" s="31"/>
      <c r="C10" s="9"/>
      <c r="D10" s="9"/>
      <c r="E10" s="9"/>
      <c r="F10" s="9"/>
      <c r="G10" s="9"/>
      <c r="H10" s="9"/>
      <c r="I10" s="9"/>
      <c r="J10" s="9"/>
      <c r="K10" s="9"/>
      <c r="L10" s="9"/>
    </row>
    <row r="11" spans="1:16">
      <c r="A11" s="9"/>
      <c r="C11">
        <v>0</v>
      </c>
      <c r="D11">
        <v>1</v>
      </c>
      <c r="E11">
        <v>2</v>
      </c>
      <c r="F11">
        <v>3</v>
      </c>
      <c r="G11">
        <v>4</v>
      </c>
      <c r="H11">
        <v>5</v>
      </c>
      <c r="I11">
        <v>6</v>
      </c>
      <c r="J11">
        <v>7</v>
      </c>
      <c r="K11">
        <v>8</v>
      </c>
      <c r="L11">
        <v>9</v>
      </c>
    </row>
    <row r="12" spans="1:16">
      <c r="A12" s="9"/>
      <c r="B12">
        <v>9</v>
      </c>
      <c r="L12">
        <v>5.1754302121175568</v>
      </c>
    </row>
    <row r="13" spans="1:16">
      <c r="A13" s="9"/>
      <c r="B13">
        <v>8</v>
      </c>
      <c r="K13">
        <v>4.7738390324520656</v>
      </c>
      <c r="L13">
        <v>4.9230215022161916</v>
      </c>
    </row>
    <row r="14" spans="1:16">
      <c r="A14" s="9"/>
      <c r="B14">
        <v>7</v>
      </c>
      <c r="J14">
        <v>4.3991094006390981</v>
      </c>
      <c r="K14">
        <v>4.5410161554984239</v>
      </c>
      <c r="L14">
        <v>4.6829229103577488</v>
      </c>
    </row>
    <row r="15" spans="1:16">
      <c r="A15" s="9"/>
      <c r="B15">
        <v>6</v>
      </c>
      <c r="I15">
        <v>4.0495764227280091</v>
      </c>
      <c r="J15">
        <v>4.1845623034856096</v>
      </c>
      <c r="K15">
        <v>4.3195481842432102</v>
      </c>
      <c r="L15">
        <v>4.4545340650008098</v>
      </c>
    </row>
    <row r="16" spans="1:16">
      <c r="A16" s="9"/>
      <c r="B16">
        <v>5</v>
      </c>
      <c r="H16">
        <v>3.72367370839445</v>
      </c>
      <c r="I16">
        <v>3.8520762500632242</v>
      </c>
      <c r="J16">
        <v>3.9804787917319984</v>
      </c>
      <c r="K16">
        <v>4.108881333400773</v>
      </c>
      <c r="L16">
        <v>4.2372838750695463</v>
      </c>
    </row>
    <row r="17" spans="1:13">
      <c r="A17" s="9"/>
      <c r="B17">
        <v>4</v>
      </c>
      <c r="G17">
        <v>3.4199277228484752</v>
      </c>
      <c r="H17">
        <v>3.5420679986644923</v>
      </c>
      <c r="I17">
        <v>3.6642082744805098</v>
      </c>
      <c r="J17">
        <v>3.7863485502965268</v>
      </c>
      <c r="K17">
        <v>3.9084888261125439</v>
      </c>
      <c r="L17">
        <v>4.0306291019285601</v>
      </c>
    </row>
    <row r="18" spans="1:13">
      <c r="A18" s="9"/>
      <c r="B18">
        <v>3</v>
      </c>
      <c r="F18">
        <v>3.1369524553663646</v>
      </c>
      <c r="G18">
        <v>3.2531358796391925</v>
      </c>
      <c r="H18">
        <v>3.3693193039120208</v>
      </c>
      <c r="I18">
        <v>3.4855027281848492</v>
      </c>
      <c r="J18">
        <v>3.6016861524576775</v>
      </c>
      <c r="K18">
        <v>3.7178695767305059</v>
      </c>
      <c r="L18">
        <v>3.8340530010033338</v>
      </c>
    </row>
    <row r="19" spans="1:13">
      <c r="A19" s="9"/>
      <c r="B19">
        <v>2</v>
      </c>
      <c r="E19">
        <v>2.8734443869966841</v>
      </c>
      <c r="F19">
        <v>2.983961478804249</v>
      </c>
      <c r="G19">
        <v>3.0944785706118134</v>
      </c>
      <c r="H19">
        <v>3.2049956624193783</v>
      </c>
      <c r="I19">
        <v>3.3155127542269431</v>
      </c>
      <c r="J19">
        <v>3.426029846034508</v>
      </c>
      <c r="K19">
        <v>3.5365469378420729</v>
      </c>
      <c r="L19">
        <v>3.6470640296496373</v>
      </c>
    </row>
    <row r="20" spans="1:13">
      <c r="A20" s="9"/>
      <c r="B20">
        <v>1</v>
      </c>
      <c r="D20">
        <v>2.6281777409400604</v>
      </c>
      <c r="E20">
        <v>2.7333048505776629</v>
      </c>
      <c r="F20">
        <v>2.8384319602152654</v>
      </c>
      <c r="G20">
        <v>2.9435590698528675</v>
      </c>
      <c r="H20">
        <v>3.04868617949047</v>
      </c>
      <c r="I20">
        <v>3.1538132891280721</v>
      </c>
      <c r="J20">
        <v>3.2589403987656747</v>
      </c>
      <c r="K20">
        <v>3.3640675084032772</v>
      </c>
      <c r="L20">
        <v>3.4691946180408793</v>
      </c>
    </row>
    <row r="21" spans="1:13">
      <c r="A21" s="9"/>
      <c r="B21">
        <v>0</v>
      </c>
      <c r="C21">
        <v>3</v>
      </c>
      <c r="D21">
        <v>2.5</v>
      </c>
      <c r="E21">
        <v>2.6</v>
      </c>
      <c r="F21">
        <v>2.7</v>
      </c>
      <c r="G21">
        <v>2.8</v>
      </c>
      <c r="H21">
        <v>2.9</v>
      </c>
      <c r="I21">
        <v>3</v>
      </c>
      <c r="J21">
        <v>3.1</v>
      </c>
      <c r="K21">
        <v>3.2</v>
      </c>
      <c r="L21">
        <v>3.3</v>
      </c>
    </row>
    <row r="22" spans="1:13">
      <c r="A22" s="9"/>
    </row>
    <row r="23" spans="1:13" ht="18" thickBot="1">
      <c r="A23" s="9"/>
    </row>
    <row r="24" spans="1:13" ht="18" thickBot="1">
      <c r="A24" s="30" t="s">
        <v>21</v>
      </c>
      <c r="B24" s="31"/>
    </row>
    <row r="25" spans="1:13">
      <c r="A25" s="9"/>
    </row>
    <row r="26" spans="1:13">
      <c r="C26">
        <v>0</v>
      </c>
      <c r="D26">
        <v>1</v>
      </c>
      <c r="E26">
        <v>2</v>
      </c>
      <c r="F26">
        <v>3</v>
      </c>
      <c r="G26">
        <v>4</v>
      </c>
      <c r="H26">
        <v>5</v>
      </c>
      <c r="I26">
        <v>6</v>
      </c>
      <c r="J26">
        <v>7</v>
      </c>
      <c r="K26">
        <v>8</v>
      </c>
      <c r="L26">
        <v>9</v>
      </c>
      <c r="M26">
        <v>10</v>
      </c>
    </row>
    <row r="27" spans="1:13">
      <c r="B27">
        <v>10</v>
      </c>
      <c r="M27">
        <v>6.7809765175527281E-4</v>
      </c>
    </row>
    <row r="28" spans="1:13">
      <c r="B28">
        <v>9</v>
      </c>
      <c r="L28">
        <v>1.4263842449837496E-3</v>
      </c>
      <c r="M28">
        <v>6.8415970656745826E-3</v>
      </c>
    </row>
    <row r="29" spans="1:13">
      <c r="B29">
        <v>8</v>
      </c>
      <c r="K29">
        <v>2.9889550656470613E-3</v>
      </c>
      <c r="L29">
        <v>1.2933859630711054E-2</v>
      </c>
      <c r="M29">
        <v>3.1054105631736016E-2</v>
      </c>
    </row>
    <row r="30" spans="1:13">
      <c r="B30">
        <v>7</v>
      </c>
      <c r="J30">
        <v>6.2408849378416398E-3</v>
      </c>
      <c r="K30">
        <v>2.406006340416637E-2</v>
      </c>
      <c r="L30">
        <v>5.2112428237835545E-2</v>
      </c>
      <c r="M30">
        <v>8.3507267446439909E-2</v>
      </c>
    </row>
    <row r="31" spans="1:13">
      <c r="B31">
        <v>6</v>
      </c>
      <c r="I31">
        <v>1.2987228685708117E-2</v>
      </c>
      <c r="J31">
        <v>4.3905683989959199E-2</v>
      </c>
      <c r="K31">
        <v>8.4717806711488597E-2</v>
      </c>
      <c r="L31">
        <v>0.12245552074163668</v>
      </c>
      <c r="M31">
        <v>0.14732957499714797</v>
      </c>
    </row>
    <row r="32" spans="1:13">
      <c r="B32">
        <v>5</v>
      </c>
      <c r="H32">
        <v>2.6941661411453786E-2</v>
      </c>
      <c r="I32">
        <v>7.823135166207644E-2</v>
      </c>
      <c r="J32">
        <v>0.13236028340668593</v>
      </c>
      <c r="K32">
        <v>0.1704274211896476</v>
      </c>
      <c r="L32">
        <v>0.18494386351748562</v>
      </c>
      <c r="M32">
        <v>0.17819412517378511</v>
      </c>
    </row>
    <row r="33" spans="1:17">
      <c r="B33">
        <v>4</v>
      </c>
      <c r="G33">
        <v>5.5726093518120128E-2</v>
      </c>
      <c r="H33">
        <v>0.13511022835464714</v>
      </c>
      <c r="I33">
        <v>0.19633064825569574</v>
      </c>
      <c r="J33">
        <v>0.22164762633408752</v>
      </c>
      <c r="K33">
        <v>0.21424537113609413</v>
      </c>
      <c r="L33">
        <v>0.18617573430583795</v>
      </c>
      <c r="M33">
        <v>0.14963469079409975</v>
      </c>
    </row>
    <row r="34" spans="1:17">
      <c r="B34">
        <v>3</v>
      </c>
      <c r="F34">
        <v>0.1149483891540331</v>
      </c>
      <c r="G34">
        <v>0.22337487480982784</v>
      </c>
      <c r="H34">
        <v>0.27100649776078256</v>
      </c>
      <c r="I34">
        <v>0.26275412470340875</v>
      </c>
      <c r="J34">
        <v>0.22267037535344714</v>
      </c>
      <c r="K34">
        <v>0.17234267077818294</v>
      </c>
      <c r="L34">
        <v>0.12491959134111023</v>
      </c>
      <c r="M34">
        <v>8.6142130826552477E-2</v>
      </c>
    </row>
    <row r="35" spans="1:17" ht="18" thickBot="1">
      <c r="B35">
        <v>2</v>
      </c>
      <c r="E35">
        <v>0.23650273438024555</v>
      </c>
      <c r="F35">
        <v>0.34530271269027407</v>
      </c>
      <c r="G35">
        <v>0.3357538313831343</v>
      </c>
      <c r="H35">
        <v>0.27177508054886979</v>
      </c>
      <c r="I35">
        <v>0.19778356721912255</v>
      </c>
      <c r="J35">
        <v>0.13420152574344285</v>
      </c>
      <c r="K35">
        <v>8.6633486409242455E-2</v>
      </c>
      <c r="L35">
        <v>5.387294839217785E-2</v>
      </c>
      <c r="M35">
        <v>3.2536633217591572E-2</v>
      </c>
    </row>
    <row r="36" spans="1:17">
      <c r="B36">
        <v>1</v>
      </c>
      <c r="D36">
        <v>0.4854368932038835</v>
      </c>
      <c r="E36">
        <v>0.47330121886994481</v>
      </c>
      <c r="F36">
        <v>0.34575319511991509</v>
      </c>
      <c r="G36">
        <v>0.22428755816526988</v>
      </c>
      <c r="H36">
        <v>0.13626327233529001</v>
      </c>
      <c r="I36">
        <v>7.9393967116717298E-2</v>
      </c>
      <c r="J36">
        <v>4.4928923108192589E-2</v>
      </c>
      <c r="K36">
        <v>2.4881376044887434E-2</v>
      </c>
      <c r="L36">
        <v>1.3550288022752679E-2</v>
      </c>
      <c r="M36">
        <v>7.2810371011777725E-3</v>
      </c>
      <c r="O36" s="22" t="s">
        <v>22</v>
      </c>
      <c r="P36" s="23" t="s">
        <v>23</v>
      </c>
      <c r="Q36" s="24">
        <f>IF( $B12 &lt;=L$11,L$5*EXP($B$6*$B12),"")</f>
        <v>5.1754302121175568</v>
      </c>
    </row>
    <row r="37" spans="1:17">
      <c r="B37">
        <v>0</v>
      </c>
      <c r="C37">
        <v>1</v>
      </c>
      <c r="D37">
        <v>0.4854368932038835</v>
      </c>
      <c r="E37">
        <v>0.23679848448969928</v>
      </c>
      <c r="F37">
        <v>0.11539887158367411</v>
      </c>
      <c r="G37">
        <v>5.6182508073843292E-2</v>
      </c>
      <c r="H37">
        <v>2.7326122604009382E-2</v>
      </c>
      <c r="I37">
        <v>1.3277999321676085E-2</v>
      </c>
      <c r="J37">
        <v>6.4456307386777109E-3</v>
      </c>
      <c r="K37">
        <v>3.1259120944120812E-3</v>
      </c>
      <c r="L37">
        <v>1.5144922938043028E-3</v>
      </c>
      <c r="M37">
        <v>7.3305532129927541E-4</v>
      </c>
      <c r="O37" s="25"/>
      <c r="P37" t="s">
        <v>24</v>
      </c>
      <c r="Q37" s="26">
        <f>IF($B27=0,$B$8*L27/(1+L11/100), IF($B27=M$26, $B$7*L28/(1 +L12/100 ),  IF(AND(0 &lt; $B27, $B27 &lt; M$26), $B$7*L28/(1+L12/100) + $B$8*L27/(1+L11/100 ),"")))</f>
        <v>6.7809765175527281E-4</v>
      </c>
    </row>
    <row r="38" spans="1:17" ht="18" thickBot="1">
      <c r="M38" s="10"/>
      <c r="O38" s="27"/>
      <c r="P38" s="28" t="s">
        <v>25</v>
      </c>
      <c r="Q38" s="29">
        <f>IF($B52&lt;= F$45, MAX((F18/100-$C$57)/(1+F18/100) +($B$7*G51+$B$8*G52)/(1+F18/100)-$C$60,0),"")</f>
        <v>2.3294948064429982E-2</v>
      </c>
    </row>
    <row r="39" spans="1:17" ht="18" thickBot="1">
      <c r="A39" s="30" t="s">
        <v>8</v>
      </c>
      <c r="B39" s="32"/>
      <c r="C39" s="31"/>
      <c r="D39" s="11">
        <f>SUM(D27:D37)</f>
        <v>0.970873786407767</v>
      </c>
      <c r="E39" s="11">
        <f t="shared" ref="E39:M39" si="0">SUM(E27:E37)</f>
        <v>0.94660243773988961</v>
      </c>
      <c r="F39" s="11">
        <f t="shared" si="0"/>
        <v>0.92140316854789639</v>
      </c>
      <c r="G39" s="11">
        <f t="shared" si="0"/>
        <v>0.89532486595019545</v>
      </c>
      <c r="H39" s="11">
        <f t="shared" si="0"/>
        <v>0.86842286301505267</v>
      </c>
      <c r="I39" s="11">
        <f t="shared" si="0"/>
        <v>0.84075888696440504</v>
      </c>
      <c r="J39" s="11">
        <f t="shared" si="0"/>
        <v>0.81240093361233456</v>
      </c>
      <c r="K39" s="11">
        <f t="shared" si="0"/>
        <v>0.78342306283376861</v>
      </c>
      <c r="L39" s="11">
        <f t="shared" si="0"/>
        <v>0.75390511072833566</v>
      </c>
      <c r="M39" s="11">
        <f t="shared" si="0"/>
        <v>0.72393231522725976</v>
      </c>
    </row>
    <row r="40" spans="1:17" ht="18" thickBot="1">
      <c r="A40" s="30" t="s">
        <v>9</v>
      </c>
      <c r="B40" s="32"/>
      <c r="C40" s="31"/>
      <c r="D40" s="12">
        <f>((1/D39)^(1/D26)-1)*100</f>
        <v>3.0000000000000027</v>
      </c>
      <c r="E40" s="12">
        <f t="shared" ref="E40:M40" si="1">((1/E39)^(1/E26)-1)*100</f>
        <v>2.7817932749675478</v>
      </c>
      <c r="F40" s="12">
        <f t="shared" si="1"/>
        <v>2.7661530722728811</v>
      </c>
      <c r="G40" s="12">
        <f t="shared" si="1"/>
        <v>2.8027751162845949</v>
      </c>
      <c r="H40" s="12">
        <f t="shared" si="1"/>
        <v>2.8617124642493552</v>
      </c>
      <c r="I40" s="12">
        <f t="shared" si="1"/>
        <v>2.9330296318862192</v>
      </c>
      <c r="J40" s="12">
        <f t="shared" si="1"/>
        <v>3.0125032576072908</v>
      </c>
      <c r="K40" s="12">
        <f t="shared" si="1"/>
        <v>3.0980511512760156</v>
      </c>
      <c r="L40" s="12">
        <f t="shared" si="1"/>
        <v>3.1885427207319683</v>
      </c>
      <c r="M40" s="12">
        <f t="shared" si="1"/>
        <v>3.2833233221075675</v>
      </c>
    </row>
    <row r="41" spans="1:17" ht="18" thickBot="1"/>
    <row r="42" spans="1:17" ht="18" thickBot="1">
      <c r="A42" s="30" t="s">
        <v>10</v>
      </c>
      <c r="B42" s="32"/>
      <c r="C42" s="31"/>
      <c r="D42" s="19">
        <f>(C4-C40)^2</f>
        <v>9</v>
      </c>
      <c r="E42" s="19">
        <f t="shared" ref="E42:M42" si="2">(D4-D40)^2</f>
        <v>9.999999999999485E-3</v>
      </c>
      <c r="F42" s="19">
        <f t="shared" si="2"/>
        <v>0.17489686486236922</v>
      </c>
      <c r="G42" s="19">
        <f t="shared" si="2"/>
        <v>0.28499254224368353</v>
      </c>
      <c r="H42" s="19">
        <f t="shared" si="2"/>
        <v>0.3566775617288791</v>
      </c>
      <c r="I42" s="19">
        <f t="shared" si="2"/>
        <v>0.40741097829463063</v>
      </c>
      <c r="J42" s="19">
        <f t="shared" si="2"/>
        <v>0.38065243513045394</v>
      </c>
      <c r="K42" s="19">
        <f t="shared" si="2"/>
        <v>0.34515242232204546</v>
      </c>
      <c r="L42" s="19">
        <f t="shared" si="2"/>
        <v>0.30464753160773173</v>
      </c>
      <c r="M42" s="19">
        <f t="shared" si="2"/>
        <v>0.26158854851625751</v>
      </c>
    </row>
    <row r="43" spans="1:17" ht="18" thickBot="1">
      <c r="A43" s="30" t="s">
        <v>19</v>
      </c>
      <c r="B43" s="32"/>
      <c r="C43" s="31"/>
      <c r="D43" s="20">
        <f>SUM(D42:M42)</f>
        <v>11.526018884706051</v>
      </c>
    </row>
    <row r="44" spans="1:17" ht="18" thickBot="1">
      <c r="A44" s="39" t="s">
        <v>11</v>
      </c>
      <c r="B44" s="40"/>
      <c r="C44" s="41"/>
      <c r="D44" s="9"/>
      <c r="E44" s="9"/>
      <c r="F44" s="9"/>
      <c r="G44" s="9"/>
      <c r="H44" s="9"/>
      <c r="I44" s="9"/>
      <c r="J44" s="9"/>
      <c r="K44" s="9"/>
      <c r="L44" s="9"/>
    </row>
    <row r="45" spans="1:17">
      <c r="A45" s="9"/>
      <c r="B45" s="9"/>
      <c r="C45" s="9">
        <v>0</v>
      </c>
      <c r="D45" s="9">
        <v>1</v>
      </c>
      <c r="E45" s="9">
        <v>2</v>
      </c>
      <c r="F45" s="9">
        <v>3</v>
      </c>
      <c r="G45" s="9">
        <v>4</v>
      </c>
      <c r="H45" s="9">
        <v>5</v>
      </c>
      <c r="I45" s="9">
        <v>6</v>
      </c>
      <c r="J45" s="9">
        <v>7</v>
      </c>
      <c r="K45" s="9">
        <v>8</v>
      </c>
      <c r="L45" s="9">
        <v>9</v>
      </c>
    </row>
    <row r="46" spans="1:17">
      <c r="A46" s="9"/>
      <c r="B46" s="9">
        <v>9</v>
      </c>
      <c r="L46">
        <v>1.7958412098298678E-2</v>
      </c>
    </row>
    <row r="47" spans="1:17">
      <c r="A47" s="9"/>
      <c r="B47" s="9">
        <v>8</v>
      </c>
      <c r="K47">
        <v>3.0493576055561713E-2</v>
      </c>
      <c r="L47">
        <v>1.535253980288097E-2</v>
      </c>
    </row>
    <row r="48" spans="1:17">
      <c r="A48" s="9"/>
      <c r="B48" s="9">
        <v>7</v>
      </c>
      <c r="J48">
        <v>3.8178510902986747E-2</v>
      </c>
      <c r="K48">
        <v>2.5565289564697013E-2</v>
      </c>
      <c r="L48">
        <v>1.2826603325415676E-2</v>
      </c>
    </row>
    <row r="49" spans="1:12">
      <c r="A49" s="9"/>
      <c r="B49" s="9">
        <v>6</v>
      </c>
      <c r="I49">
        <v>4.1644042795179831E-2</v>
      </c>
      <c r="J49">
        <v>3.1299073987151163E-2</v>
      </c>
      <c r="K49">
        <v>2.0875128401156406E-2</v>
      </c>
      <c r="L49">
        <v>1.0381941137251166E-2</v>
      </c>
    </row>
    <row r="50" spans="1:12">
      <c r="A50" s="9"/>
      <c r="B50" s="9">
        <v>5</v>
      </c>
      <c r="H50">
        <v>4.1405134013913027E-2</v>
      </c>
      <c r="I50">
        <v>3.3084406267095613E-2</v>
      </c>
      <c r="J50">
        <v>2.4687036398599194E-2</v>
      </c>
      <c r="K50">
        <v>1.6380026559272547E-2</v>
      </c>
      <c r="L50">
        <v>8.1145584725536984E-3</v>
      </c>
    </row>
    <row r="51" spans="1:12">
      <c r="A51" s="9"/>
      <c r="B51" s="9">
        <v>4</v>
      </c>
      <c r="G51">
        <v>3.7324262517208141E-2</v>
      </c>
      <c r="H51">
        <v>3.1341304809431529E-2</v>
      </c>
      <c r="I51">
        <v>2.4874750782492901E-2</v>
      </c>
      <c r="J51">
        <v>1.8421593534307005E-2</v>
      </c>
      <c r="K51">
        <v>1.2084260740360484E-2</v>
      </c>
      <c r="L51">
        <v>5.9318790662074225E-3</v>
      </c>
    </row>
    <row r="52" spans="1:12">
      <c r="A52" s="9"/>
      <c r="B52" s="9">
        <v>3</v>
      </c>
      <c r="F52">
        <v>2.9814287735769808E-2</v>
      </c>
      <c r="G52">
        <v>2.5988087394891439E-2</v>
      </c>
      <c r="H52">
        <v>2.1687928884547777E-2</v>
      </c>
      <c r="I52">
        <v>1.6866504397804842E-2</v>
      </c>
      <c r="J52">
        <v>1.23012152236818E-2</v>
      </c>
      <c r="K52">
        <v>7.9465512997029218E-3</v>
      </c>
      <c r="L52">
        <v>3.8350910834132283E-3</v>
      </c>
    </row>
    <row r="53" spans="1:12">
      <c r="A53" s="9"/>
      <c r="B53" s="9">
        <v>2</v>
      </c>
      <c r="E53">
        <v>1.9308154479007727E-2</v>
      </c>
      <c r="F53">
        <v>1.7369038559359395E-2</v>
      </c>
      <c r="G53">
        <v>1.5017929538660595E-2</v>
      </c>
      <c r="H53">
        <v>1.2277278494080689E-2</v>
      </c>
      <c r="I53">
        <v>9.2383139457983838E-3</v>
      </c>
      <c r="J53">
        <v>6.4996964812655631E-3</v>
      </c>
      <c r="K53">
        <v>3.9702175027369413E-3</v>
      </c>
      <c r="L53">
        <v>1.825343452781246E-3</v>
      </c>
    </row>
    <row r="54" spans="1:12">
      <c r="A54" s="9"/>
      <c r="B54" s="9">
        <v>1</v>
      </c>
      <c r="D54">
        <v>5.9047817609113777E-3</v>
      </c>
      <c r="E54">
        <v>5.6864008136264547E-3</v>
      </c>
      <c r="F54">
        <v>5.1858892025692183E-3</v>
      </c>
      <c r="G54">
        <v>4.3137495771361414E-3</v>
      </c>
      <c r="H54">
        <v>3.2582223799991097E-3</v>
      </c>
      <c r="I54">
        <v>1.9179359813677706E-3</v>
      </c>
      <c r="J54">
        <v>8.7925350568001455E-4</v>
      </c>
      <c r="K54">
        <v>2.5476107365249626E-4</v>
      </c>
      <c r="L54">
        <v>-9.6255655019735167E-5</v>
      </c>
    </row>
    <row r="55" spans="1:12">
      <c r="A55" s="9"/>
      <c r="B55" s="9">
        <v>0</v>
      </c>
      <c r="C55">
        <v>0</v>
      </c>
      <c r="D55">
        <v>0</v>
      </c>
      <c r="E55">
        <v>0</v>
      </c>
      <c r="F55">
        <v>0</v>
      </c>
      <c r="G55">
        <v>-5.8684867731219363E-3</v>
      </c>
      <c r="H55">
        <v>-5.3942530268152791E-3</v>
      </c>
      <c r="I55">
        <v>-5.0840397468754038E-3</v>
      </c>
      <c r="J55">
        <v>-4.4082998214589712E-3</v>
      </c>
      <c r="K55">
        <v>-3.3887583037154807E-3</v>
      </c>
      <c r="L55">
        <v>-1.9286403085824512E-3</v>
      </c>
    </row>
    <row r="57" spans="1:12">
      <c r="A57" s="13" t="s">
        <v>12</v>
      </c>
      <c r="B57" s="14"/>
      <c r="C57" s="15">
        <v>3.9E-2</v>
      </c>
      <c r="D57" t="s">
        <v>17</v>
      </c>
    </row>
    <row r="58" spans="1:12">
      <c r="A58" s="13" t="s">
        <v>13</v>
      </c>
      <c r="B58" s="1"/>
      <c r="C58" s="16">
        <v>3</v>
      </c>
    </row>
    <row r="59" spans="1:12">
      <c r="A59" s="13" t="s">
        <v>14</v>
      </c>
      <c r="B59" s="1"/>
      <c r="C59" s="17">
        <v>7</v>
      </c>
      <c r="D59" t="s">
        <v>18</v>
      </c>
    </row>
    <row r="60" spans="1:12">
      <c r="A60" s="13" t="s">
        <v>15</v>
      </c>
      <c r="B60" s="1"/>
      <c r="C60" s="18">
        <v>0</v>
      </c>
    </row>
    <row r="61" spans="1:12">
      <c r="A61" s="13" t="s">
        <v>16</v>
      </c>
      <c r="B61" s="1"/>
      <c r="C61" s="17">
        <v>1</v>
      </c>
    </row>
    <row r="63" spans="1:12">
      <c r="B63" t="s">
        <v>20</v>
      </c>
      <c r="C63" s="21">
        <f>C55*1000000</f>
        <v>0</v>
      </c>
    </row>
  </sheetData>
  <mergeCells count="11">
    <mergeCell ref="A39:C39"/>
    <mergeCell ref="A40:C40"/>
    <mergeCell ref="A42:C42"/>
    <mergeCell ref="A44:C44"/>
    <mergeCell ref="A43:C43"/>
    <mergeCell ref="A24:B24"/>
    <mergeCell ref="A1:H1"/>
    <mergeCell ref="A3:B3"/>
    <mergeCell ref="A4:B4"/>
    <mergeCell ref="A5:B5"/>
    <mergeCell ref="A10:B10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BDT_treegen">
                <anchor moveWithCells="1" sizeWithCells="1">
                  <from>
                    <xdr:col>3</xdr:col>
                    <xdr:colOff>139700</xdr:colOff>
                    <xdr:row>14</xdr:row>
                    <xdr:rowOff>190500</xdr:rowOff>
                  </from>
                  <to>
                    <xdr:col>3</xdr:col>
                    <xdr:colOff>1663700</xdr:colOff>
                    <xdr:row>17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EptreeGen">
                <anchor moveWithCells="1" sizeWithCells="1">
                  <from>
                    <xdr:col>3</xdr:col>
                    <xdr:colOff>190500</xdr:colOff>
                    <xdr:row>27</xdr:row>
                    <xdr:rowOff>101600</xdr:rowOff>
                  </from>
                  <to>
                    <xdr:col>3</xdr:col>
                    <xdr:colOff>1714500</xdr:colOff>
                    <xdr:row>29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waptionTreeGen">
                <anchor moveWithCells="1" sizeWithCells="1">
                  <from>
                    <xdr:col>3</xdr:col>
                    <xdr:colOff>406400</xdr:colOff>
                    <xdr:row>46</xdr:row>
                    <xdr:rowOff>50800</xdr:rowOff>
                  </from>
                  <to>
                    <xdr:col>3</xdr:col>
                    <xdr:colOff>1930400</xdr:colOff>
                    <xdr:row>48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3</vt:i4>
      </vt:variant>
    </vt:vector>
  </HeadingPairs>
  <TitlesOfParts>
    <vt:vector size="4" baseType="lpstr">
      <vt:lpstr>Sheet1</vt:lpstr>
      <vt:lpstr>beta</vt:lpstr>
      <vt:lpstr>p_d</vt:lpstr>
      <vt:lpstr>p_u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주한음</dc:creator>
  <cp:lastModifiedBy>Microsoft Office User</cp:lastModifiedBy>
  <dcterms:created xsi:type="dcterms:W3CDTF">2023-08-27T09:15:50Z</dcterms:created>
  <dcterms:modified xsi:type="dcterms:W3CDTF">2023-09-03T06:30:33Z</dcterms:modified>
</cp:coreProperties>
</file>